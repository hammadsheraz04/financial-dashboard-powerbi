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43deae6ad1d3ec/Desktop/Financial_dashboard/"/>
    </mc:Choice>
  </mc:AlternateContent>
  <xr:revisionPtr revIDLastSave="109" documentId="8_{5FD043AA-6160-4A56-AB30-4213ECE48CBD}" xr6:coauthVersionLast="47" xr6:coauthVersionMax="47" xr10:uidLastSave="{26F8E6EE-CED1-439B-863E-2777BA26A32D}"/>
  <bookViews>
    <workbookView xWindow="-120" yWindow="-120" windowWidth="20730" windowHeight="11040" activeTab="1" xr2:uid="{80AFA604-F876-4B9A-8E88-C65CA6D5E20F}"/>
  </bookViews>
  <sheets>
    <sheet name="Actuals" sheetId="1" r:id="rId1"/>
    <sheet name="Budg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3" i="1"/>
  <c r="F2" i="2" l="1"/>
  <c r="E2" i="2"/>
</calcChain>
</file>

<file path=xl/sharedStrings.xml><?xml version="1.0" encoding="utf-8"?>
<sst xmlns="http://schemas.openxmlformats.org/spreadsheetml/2006/main" count="396" uniqueCount="14">
  <si>
    <t>Date</t>
  </si>
  <si>
    <t>Region</t>
  </si>
  <si>
    <t>Product Line</t>
  </si>
  <si>
    <t>Revenue</t>
  </si>
  <si>
    <t>COGS</t>
  </si>
  <si>
    <t>Opex</t>
  </si>
  <si>
    <t>Karachi</t>
  </si>
  <si>
    <t>Lahore</t>
  </si>
  <si>
    <t>Islamabad</t>
  </si>
  <si>
    <t>Peshawer</t>
  </si>
  <si>
    <t>Audit</t>
  </si>
  <si>
    <t>Budget_Revenue</t>
  </si>
  <si>
    <t>Budget_COGS</t>
  </si>
  <si>
    <t>Budget_Opex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</si>
</sst>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E863-2854-4C09-9BE8-D3AE28D996D3}">
  <dimension ref="A1:F97"/>
  <sheetViews>
    <sheetView workbookViewId="0">
      <selection activeCell="D2" sqref="D2"/>
    </sheetView>
  </sheetViews>
  <sheetFormatPr defaultRowHeight="15" x14ac:dyDescent="0.25"/>
  <cols>
    <col min="1" max="1" width="10.42578125" bestFit="1" customWidth="1"/>
    <col min="2" max="2" width="11" customWidth="1"/>
    <col min="3" max="3" width="13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45292</v>
      </c>
      <c r="B2" t="s">
        <v>6</v>
      </c>
      <c r="C2" t="s">
        <v>10</v>
      </c>
      <c r="D2">
        <v>2531026</v>
      </c>
      <c r="E2">
        <v>809928</v>
      </c>
      <c r="F2">
        <v>455585</v>
      </c>
    </row>
    <row r="3" spans="1:6" x14ac:dyDescent="0.25">
      <c r="A3" s="1">
        <f>IF(MOD(ROW()-2,4)=0, DATE(YEAR(A2),MONTH(A2)+1,1), A2)</f>
        <v>45292</v>
      </c>
      <c r="B3" t="s">
        <v>7</v>
      </c>
      <c r="C3" t="s">
        <v>10</v>
      </c>
      <c r="D3">
        <v>2802820</v>
      </c>
      <c r="E3">
        <v>896902</v>
      </c>
      <c r="F3">
        <v>504508</v>
      </c>
    </row>
    <row r="4" spans="1:6" x14ac:dyDescent="0.25">
      <c r="A4" s="1">
        <f t="shared" ref="A4:A67" si="0">IF(MOD(ROW()-2,4)=0, DATE(YEAR(A3),MONTH(A3)+1,1), A3)</f>
        <v>45292</v>
      </c>
      <c r="B4" t="s">
        <v>8</v>
      </c>
      <c r="C4" t="s">
        <v>10</v>
      </c>
      <c r="D4">
        <v>2283945</v>
      </c>
      <c r="E4">
        <v>730862</v>
      </c>
      <c r="F4">
        <v>411110</v>
      </c>
    </row>
    <row r="5" spans="1:6" x14ac:dyDescent="0.25">
      <c r="A5" s="1">
        <f t="shared" si="0"/>
        <v>45292</v>
      </c>
      <c r="B5" t="s">
        <v>9</v>
      </c>
      <c r="C5" t="s">
        <v>10</v>
      </c>
      <c r="D5">
        <v>1329314</v>
      </c>
      <c r="E5">
        <v>425380</v>
      </c>
      <c r="F5">
        <v>239277</v>
      </c>
    </row>
    <row r="6" spans="1:6" x14ac:dyDescent="0.25">
      <c r="A6" s="1">
        <f t="shared" si="0"/>
        <v>45323</v>
      </c>
      <c r="B6" t="s">
        <v>6</v>
      </c>
      <c r="C6" t="s">
        <v>10</v>
      </c>
      <c r="D6">
        <v>2663789</v>
      </c>
      <c r="E6">
        <v>852412</v>
      </c>
      <c r="F6">
        <v>479482</v>
      </c>
    </row>
    <row r="7" spans="1:6" x14ac:dyDescent="0.25">
      <c r="A7" s="1">
        <f t="shared" si="0"/>
        <v>45323</v>
      </c>
      <c r="B7" t="s">
        <v>7</v>
      </c>
      <c r="C7" t="s">
        <v>10</v>
      </c>
      <c r="D7">
        <v>1992408</v>
      </c>
      <c r="E7">
        <v>637571</v>
      </c>
      <c r="F7">
        <v>358633</v>
      </c>
    </row>
    <row r="8" spans="1:6" x14ac:dyDescent="0.25">
      <c r="A8" s="1">
        <f t="shared" si="0"/>
        <v>45323</v>
      </c>
      <c r="B8" t="s">
        <v>8</v>
      </c>
      <c r="C8" t="s">
        <v>10</v>
      </c>
      <c r="D8">
        <v>2375575</v>
      </c>
      <c r="E8">
        <v>760184</v>
      </c>
      <c r="F8">
        <v>427604</v>
      </c>
    </row>
    <row r="9" spans="1:6" x14ac:dyDescent="0.25">
      <c r="A9" s="1">
        <f t="shared" si="0"/>
        <v>45323</v>
      </c>
      <c r="B9" t="s">
        <v>9</v>
      </c>
      <c r="C9" t="s">
        <v>10</v>
      </c>
      <c r="D9">
        <v>2217439</v>
      </c>
      <c r="E9">
        <v>709580</v>
      </c>
      <c r="F9">
        <v>399139</v>
      </c>
    </row>
    <row r="10" spans="1:6" x14ac:dyDescent="0.25">
      <c r="A10" s="1">
        <f t="shared" si="0"/>
        <v>45352</v>
      </c>
      <c r="B10" t="s">
        <v>6</v>
      </c>
      <c r="C10" t="s">
        <v>10</v>
      </c>
      <c r="D10">
        <v>910827</v>
      </c>
      <c r="E10">
        <v>291465</v>
      </c>
      <c r="F10">
        <v>163949</v>
      </c>
    </row>
    <row r="11" spans="1:6" x14ac:dyDescent="0.25">
      <c r="A11" s="1">
        <f t="shared" si="0"/>
        <v>45352</v>
      </c>
      <c r="B11" t="s">
        <v>7</v>
      </c>
      <c r="C11" t="s">
        <v>10</v>
      </c>
      <c r="D11">
        <v>1801628</v>
      </c>
      <c r="E11">
        <v>576521</v>
      </c>
      <c r="F11">
        <v>324293</v>
      </c>
    </row>
    <row r="12" spans="1:6" x14ac:dyDescent="0.25">
      <c r="A12" s="1">
        <f t="shared" si="0"/>
        <v>45352</v>
      </c>
      <c r="B12" t="s">
        <v>8</v>
      </c>
      <c r="C12" t="s">
        <v>10</v>
      </c>
      <c r="D12">
        <v>1237195</v>
      </c>
      <c r="E12">
        <v>395902</v>
      </c>
      <c r="F12">
        <v>222695</v>
      </c>
    </row>
    <row r="13" spans="1:6" x14ac:dyDescent="0.25">
      <c r="A13" s="1">
        <f t="shared" si="0"/>
        <v>45352</v>
      </c>
      <c r="B13" t="s">
        <v>9</v>
      </c>
      <c r="C13" t="s">
        <v>10</v>
      </c>
      <c r="D13">
        <v>2092745</v>
      </c>
      <c r="E13">
        <v>669678</v>
      </c>
      <c r="F13">
        <v>376694</v>
      </c>
    </row>
    <row r="14" spans="1:6" x14ac:dyDescent="0.25">
      <c r="A14" s="1">
        <f t="shared" si="0"/>
        <v>45383</v>
      </c>
      <c r="B14" t="s">
        <v>6</v>
      </c>
      <c r="C14" t="s">
        <v>10</v>
      </c>
      <c r="D14">
        <v>3243047</v>
      </c>
      <c r="E14">
        <v>1037775</v>
      </c>
      <c r="F14">
        <v>583748</v>
      </c>
    </row>
    <row r="15" spans="1:6" x14ac:dyDescent="0.25">
      <c r="A15" s="1">
        <f t="shared" si="0"/>
        <v>45383</v>
      </c>
      <c r="B15" t="s">
        <v>7</v>
      </c>
      <c r="C15" t="s">
        <v>10</v>
      </c>
      <c r="D15">
        <v>2104363</v>
      </c>
      <c r="E15">
        <v>673396</v>
      </c>
      <c r="F15">
        <v>378785</v>
      </c>
    </row>
    <row r="16" spans="1:6" x14ac:dyDescent="0.25">
      <c r="A16" s="1">
        <f t="shared" si="0"/>
        <v>45383</v>
      </c>
      <c r="B16" t="s">
        <v>8</v>
      </c>
      <c r="C16" t="s">
        <v>10</v>
      </c>
      <c r="D16">
        <v>2743193</v>
      </c>
      <c r="E16">
        <v>877822</v>
      </c>
      <c r="F16">
        <v>493775</v>
      </c>
    </row>
    <row r="17" spans="1:6" x14ac:dyDescent="0.25">
      <c r="A17" s="1">
        <f t="shared" si="0"/>
        <v>45383</v>
      </c>
      <c r="B17" t="s">
        <v>9</v>
      </c>
      <c r="C17" t="s">
        <v>10</v>
      </c>
      <c r="D17">
        <v>3260461</v>
      </c>
      <c r="E17">
        <v>1043348</v>
      </c>
      <c r="F17">
        <v>586883</v>
      </c>
    </row>
    <row r="18" spans="1:6" x14ac:dyDescent="0.25">
      <c r="A18" s="1">
        <f t="shared" si="0"/>
        <v>45413</v>
      </c>
      <c r="B18" t="s">
        <v>6</v>
      </c>
      <c r="C18" t="s">
        <v>10</v>
      </c>
      <c r="D18">
        <v>1465770</v>
      </c>
      <c r="E18">
        <v>469046</v>
      </c>
      <c r="F18">
        <v>263839</v>
      </c>
    </row>
    <row r="19" spans="1:6" x14ac:dyDescent="0.25">
      <c r="A19" s="1">
        <f t="shared" si="0"/>
        <v>45413</v>
      </c>
      <c r="B19" t="s">
        <v>7</v>
      </c>
      <c r="C19" t="s">
        <v>10</v>
      </c>
      <c r="D19">
        <v>2604255</v>
      </c>
      <c r="E19">
        <v>833362</v>
      </c>
      <c r="F19">
        <v>468766</v>
      </c>
    </row>
    <row r="20" spans="1:6" x14ac:dyDescent="0.25">
      <c r="A20" s="1">
        <f t="shared" si="0"/>
        <v>45413</v>
      </c>
      <c r="B20" t="s">
        <v>8</v>
      </c>
      <c r="C20" t="s">
        <v>10</v>
      </c>
      <c r="D20">
        <v>973812</v>
      </c>
      <c r="E20">
        <v>311620</v>
      </c>
      <c r="F20">
        <v>175286</v>
      </c>
    </row>
    <row r="21" spans="1:6" x14ac:dyDescent="0.25">
      <c r="A21" s="1">
        <f t="shared" si="0"/>
        <v>45413</v>
      </c>
      <c r="B21" t="s">
        <v>9</v>
      </c>
      <c r="C21" t="s">
        <v>10</v>
      </c>
      <c r="D21">
        <v>3446878</v>
      </c>
      <c r="E21">
        <v>1103001</v>
      </c>
      <c r="F21">
        <v>620438</v>
      </c>
    </row>
    <row r="22" spans="1:6" x14ac:dyDescent="0.25">
      <c r="A22" s="1">
        <f t="shared" si="0"/>
        <v>45444</v>
      </c>
      <c r="B22" t="s">
        <v>6</v>
      </c>
      <c r="C22" t="s">
        <v>10</v>
      </c>
      <c r="D22">
        <v>2377418</v>
      </c>
      <c r="E22">
        <v>760774</v>
      </c>
      <c r="F22">
        <v>427935</v>
      </c>
    </row>
    <row r="23" spans="1:6" x14ac:dyDescent="0.25">
      <c r="A23" s="1">
        <f t="shared" si="0"/>
        <v>45444</v>
      </c>
      <c r="B23" t="s">
        <v>7</v>
      </c>
      <c r="C23" t="s">
        <v>10</v>
      </c>
      <c r="D23">
        <v>2432705</v>
      </c>
      <c r="E23">
        <v>778466</v>
      </c>
      <c r="F23">
        <v>437887</v>
      </c>
    </row>
    <row r="24" spans="1:6" x14ac:dyDescent="0.25">
      <c r="A24" s="1">
        <f t="shared" si="0"/>
        <v>45444</v>
      </c>
      <c r="B24" t="s">
        <v>8</v>
      </c>
      <c r="C24" t="s">
        <v>10</v>
      </c>
      <c r="D24">
        <v>1240358</v>
      </c>
      <c r="E24">
        <v>396915</v>
      </c>
      <c r="F24">
        <v>223264</v>
      </c>
    </row>
    <row r="25" spans="1:6" x14ac:dyDescent="0.25">
      <c r="A25" s="1">
        <f t="shared" si="0"/>
        <v>45444</v>
      </c>
      <c r="B25" t="s">
        <v>9</v>
      </c>
      <c r="C25" t="s">
        <v>10</v>
      </c>
      <c r="D25">
        <v>1901490</v>
      </c>
      <c r="E25">
        <v>608477</v>
      </c>
      <c r="F25">
        <v>342268</v>
      </c>
    </row>
    <row r="26" spans="1:6" x14ac:dyDescent="0.25">
      <c r="A26" s="1">
        <f t="shared" si="0"/>
        <v>45474</v>
      </c>
      <c r="B26" t="s">
        <v>6</v>
      </c>
      <c r="C26" t="s">
        <v>10</v>
      </c>
      <c r="D26">
        <v>1739605</v>
      </c>
      <c r="E26">
        <v>556674</v>
      </c>
      <c r="F26">
        <v>313129</v>
      </c>
    </row>
    <row r="27" spans="1:6" x14ac:dyDescent="0.25">
      <c r="A27" s="1">
        <f t="shared" si="0"/>
        <v>45474</v>
      </c>
      <c r="B27" t="s">
        <v>7</v>
      </c>
      <c r="C27" t="s">
        <v>10</v>
      </c>
      <c r="D27">
        <v>893362</v>
      </c>
      <c r="E27">
        <v>285876</v>
      </c>
      <c r="F27">
        <v>160805</v>
      </c>
    </row>
    <row r="28" spans="1:6" x14ac:dyDescent="0.25">
      <c r="A28" s="1">
        <f t="shared" si="0"/>
        <v>45474</v>
      </c>
      <c r="B28" t="s">
        <v>8</v>
      </c>
      <c r="C28" t="s">
        <v>10</v>
      </c>
      <c r="D28">
        <v>2729707</v>
      </c>
      <c r="E28">
        <v>873506</v>
      </c>
      <c r="F28">
        <v>491347</v>
      </c>
    </row>
    <row r="29" spans="1:6" x14ac:dyDescent="0.25">
      <c r="A29" s="1">
        <f t="shared" si="0"/>
        <v>45474</v>
      </c>
      <c r="B29" t="s">
        <v>9</v>
      </c>
      <c r="C29" t="s">
        <v>10</v>
      </c>
      <c r="D29">
        <v>2619040</v>
      </c>
      <c r="E29">
        <v>838093</v>
      </c>
      <c r="F29">
        <v>471427</v>
      </c>
    </row>
    <row r="30" spans="1:6" x14ac:dyDescent="0.25">
      <c r="A30" s="1">
        <f t="shared" si="0"/>
        <v>45505</v>
      </c>
      <c r="B30" t="s">
        <v>6</v>
      </c>
      <c r="C30" t="s">
        <v>10</v>
      </c>
      <c r="D30">
        <v>1017154</v>
      </c>
      <c r="E30">
        <v>325489</v>
      </c>
      <c r="F30">
        <v>183088</v>
      </c>
    </row>
    <row r="31" spans="1:6" x14ac:dyDescent="0.25">
      <c r="A31" s="1">
        <f t="shared" si="0"/>
        <v>45505</v>
      </c>
      <c r="B31" t="s">
        <v>7</v>
      </c>
      <c r="C31" t="s">
        <v>10</v>
      </c>
      <c r="D31">
        <v>1720535</v>
      </c>
      <c r="E31">
        <v>550571</v>
      </c>
      <c r="F31">
        <v>309696</v>
      </c>
    </row>
    <row r="32" spans="1:6" x14ac:dyDescent="0.25">
      <c r="A32" s="1">
        <f t="shared" si="0"/>
        <v>45505</v>
      </c>
      <c r="B32" t="s">
        <v>8</v>
      </c>
      <c r="C32" t="s">
        <v>10</v>
      </c>
      <c r="D32">
        <v>867918</v>
      </c>
      <c r="E32">
        <v>277734</v>
      </c>
      <c r="F32">
        <v>156225</v>
      </c>
    </row>
    <row r="33" spans="1:6" x14ac:dyDescent="0.25">
      <c r="A33" s="1">
        <f t="shared" si="0"/>
        <v>45505</v>
      </c>
      <c r="B33" t="s">
        <v>9</v>
      </c>
      <c r="C33" t="s">
        <v>10</v>
      </c>
      <c r="D33">
        <v>3089710</v>
      </c>
      <c r="E33">
        <v>988707</v>
      </c>
      <c r="F33">
        <v>556148</v>
      </c>
    </row>
    <row r="34" spans="1:6" x14ac:dyDescent="0.25">
      <c r="A34" s="1">
        <f t="shared" si="0"/>
        <v>45536</v>
      </c>
      <c r="B34" t="s">
        <v>6</v>
      </c>
      <c r="C34" t="s">
        <v>10</v>
      </c>
      <c r="D34">
        <v>1229521</v>
      </c>
      <c r="E34">
        <v>393447</v>
      </c>
      <c r="F34">
        <v>221314</v>
      </c>
    </row>
    <row r="35" spans="1:6" x14ac:dyDescent="0.25">
      <c r="A35" s="1">
        <f t="shared" si="0"/>
        <v>45536</v>
      </c>
      <c r="B35" t="s">
        <v>7</v>
      </c>
      <c r="C35" t="s">
        <v>10</v>
      </c>
      <c r="D35">
        <v>981644</v>
      </c>
      <c r="E35">
        <v>314126</v>
      </c>
      <c r="F35">
        <v>176696</v>
      </c>
    </row>
    <row r="36" spans="1:6" x14ac:dyDescent="0.25">
      <c r="A36" s="1">
        <f t="shared" si="0"/>
        <v>45536</v>
      </c>
      <c r="B36" t="s">
        <v>8</v>
      </c>
      <c r="C36" t="s">
        <v>10</v>
      </c>
      <c r="D36">
        <v>2596014</v>
      </c>
      <c r="E36">
        <v>830724</v>
      </c>
      <c r="F36">
        <v>467283</v>
      </c>
    </row>
    <row r="37" spans="1:6" x14ac:dyDescent="0.25">
      <c r="A37" s="1">
        <f t="shared" si="0"/>
        <v>45536</v>
      </c>
      <c r="B37" t="s">
        <v>9</v>
      </c>
      <c r="C37" t="s">
        <v>10</v>
      </c>
      <c r="D37">
        <v>1822089</v>
      </c>
      <c r="E37">
        <v>583068</v>
      </c>
      <c r="F37">
        <v>327976</v>
      </c>
    </row>
    <row r="38" spans="1:6" x14ac:dyDescent="0.25">
      <c r="A38" s="1">
        <f t="shared" si="0"/>
        <v>45566</v>
      </c>
      <c r="B38" t="s">
        <v>6</v>
      </c>
      <c r="C38" t="s">
        <v>10</v>
      </c>
      <c r="D38">
        <v>1442502</v>
      </c>
      <c r="E38">
        <v>461601</v>
      </c>
      <c r="F38">
        <v>259650</v>
      </c>
    </row>
    <row r="39" spans="1:6" x14ac:dyDescent="0.25">
      <c r="A39" s="1">
        <f t="shared" si="0"/>
        <v>45566</v>
      </c>
      <c r="B39" t="s">
        <v>7</v>
      </c>
      <c r="C39" t="s">
        <v>10</v>
      </c>
      <c r="D39">
        <v>832244</v>
      </c>
      <c r="E39">
        <v>266318</v>
      </c>
      <c r="F39">
        <v>149804</v>
      </c>
    </row>
    <row r="40" spans="1:6" x14ac:dyDescent="0.25">
      <c r="A40" s="1">
        <f t="shared" si="0"/>
        <v>45566</v>
      </c>
      <c r="B40" t="s">
        <v>8</v>
      </c>
      <c r="C40" t="s">
        <v>10</v>
      </c>
      <c r="D40">
        <v>3421550</v>
      </c>
      <c r="E40">
        <v>1094896</v>
      </c>
      <c r="F40">
        <v>615879</v>
      </c>
    </row>
    <row r="41" spans="1:6" x14ac:dyDescent="0.25">
      <c r="A41" s="1">
        <f t="shared" si="0"/>
        <v>45566</v>
      </c>
      <c r="B41" t="s">
        <v>9</v>
      </c>
      <c r="C41" t="s">
        <v>10</v>
      </c>
      <c r="D41">
        <v>1641692</v>
      </c>
      <c r="E41">
        <v>525341</v>
      </c>
      <c r="F41">
        <v>295505</v>
      </c>
    </row>
    <row r="42" spans="1:6" x14ac:dyDescent="0.25">
      <c r="A42" s="1">
        <f t="shared" si="0"/>
        <v>45597</v>
      </c>
      <c r="B42" t="s">
        <v>6</v>
      </c>
      <c r="C42" t="s">
        <v>10</v>
      </c>
      <c r="D42">
        <v>3470083</v>
      </c>
      <c r="E42">
        <v>1110427</v>
      </c>
      <c r="F42">
        <v>624615</v>
      </c>
    </row>
    <row r="43" spans="1:6" x14ac:dyDescent="0.25">
      <c r="A43" s="1">
        <f t="shared" si="0"/>
        <v>45597</v>
      </c>
      <c r="B43" t="s">
        <v>7</v>
      </c>
      <c r="C43" t="s">
        <v>10</v>
      </c>
      <c r="D43">
        <v>1652779</v>
      </c>
      <c r="E43">
        <v>528889</v>
      </c>
      <c r="F43">
        <v>297500</v>
      </c>
    </row>
    <row r="44" spans="1:6" x14ac:dyDescent="0.25">
      <c r="A44" s="1">
        <f t="shared" si="0"/>
        <v>45597</v>
      </c>
      <c r="B44" t="s">
        <v>8</v>
      </c>
      <c r="C44" t="s">
        <v>10</v>
      </c>
      <c r="D44">
        <v>2662071</v>
      </c>
      <c r="E44">
        <v>851863</v>
      </c>
      <c r="F44">
        <v>479173</v>
      </c>
    </row>
    <row r="45" spans="1:6" x14ac:dyDescent="0.25">
      <c r="A45" s="1">
        <f t="shared" si="0"/>
        <v>45597</v>
      </c>
      <c r="B45" t="s">
        <v>9</v>
      </c>
      <c r="C45" t="s">
        <v>10</v>
      </c>
      <c r="D45">
        <v>1210592</v>
      </c>
      <c r="E45">
        <v>387389</v>
      </c>
      <c r="F45">
        <v>217907</v>
      </c>
    </row>
    <row r="46" spans="1:6" x14ac:dyDescent="0.25">
      <c r="A46" s="1">
        <f t="shared" si="0"/>
        <v>45627</v>
      </c>
      <c r="B46" t="s">
        <v>6</v>
      </c>
      <c r="C46" t="s">
        <v>10</v>
      </c>
      <c r="D46">
        <v>1701144</v>
      </c>
      <c r="E46">
        <v>544366</v>
      </c>
      <c r="F46">
        <v>306206</v>
      </c>
    </row>
    <row r="47" spans="1:6" x14ac:dyDescent="0.25">
      <c r="A47" s="1">
        <f t="shared" si="0"/>
        <v>45627</v>
      </c>
      <c r="B47" t="s">
        <v>7</v>
      </c>
      <c r="C47" t="s">
        <v>10</v>
      </c>
      <c r="D47">
        <v>2289029</v>
      </c>
      <c r="E47">
        <v>732489</v>
      </c>
      <c r="F47">
        <v>412025</v>
      </c>
    </row>
    <row r="48" spans="1:6" x14ac:dyDescent="0.25">
      <c r="A48" s="1">
        <f t="shared" si="0"/>
        <v>45627</v>
      </c>
      <c r="B48" t="s">
        <v>8</v>
      </c>
      <c r="C48" t="s">
        <v>10</v>
      </c>
      <c r="D48">
        <v>1355291</v>
      </c>
      <c r="E48">
        <v>433693</v>
      </c>
      <c r="F48">
        <v>243952</v>
      </c>
    </row>
    <row r="49" spans="1:6" x14ac:dyDescent="0.25">
      <c r="A49" s="1">
        <f t="shared" si="0"/>
        <v>45627</v>
      </c>
      <c r="B49" t="s">
        <v>9</v>
      </c>
      <c r="C49" t="s">
        <v>10</v>
      </c>
      <c r="D49">
        <v>1215655</v>
      </c>
      <c r="E49">
        <v>389010</v>
      </c>
      <c r="F49">
        <v>218818</v>
      </c>
    </row>
    <row r="50" spans="1:6" x14ac:dyDescent="0.25">
      <c r="A50" s="1">
        <f t="shared" si="0"/>
        <v>45658</v>
      </c>
      <c r="B50" t="s">
        <v>6</v>
      </c>
      <c r="C50" t="s">
        <v>10</v>
      </c>
      <c r="D50">
        <v>2315426</v>
      </c>
      <c r="E50">
        <v>740936</v>
      </c>
      <c r="F50">
        <v>416777</v>
      </c>
    </row>
    <row r="51" spans="1:6" x14ac:dyDescent="0.25">
      <c r="A51" s="1">
        <f t="shared" si="0"/>
        <v>45658</v>
      </c>
      <c r="B51" t="s">
        <v>7</v>
      </c>
      <c r="C51" t="s">
        <v>10</v>
      </c>
      <c r="D51">
        <v>2497208</v>
      </c>
      <c r="E51">
        <v>799107</v>
      </c>
      <c r="F51">
        <v>449497</v>
      </c>
    </row>
    <row r="52" spans="1:6" x14ac:dyDescent="0.25">
      <c r="A52" s="1">
        <f t="shared" si="0"/>
        <v>45658</v>
      </c>
      <c r="B52" t="s">
        <v>8</v>
      </c>
      <c r="C52" t="s">
        <v>10</v>
      </c>
      <c r="D52">
        <v>1849106</v>
      </c>
      <c r="E52">
        <v>591714</v>
      </c>
      <c r="F52">
        <v>332839</v>
      </c>
    </row>
    <row r="53" spans="1:6" x14ac:dyDescent="0.25">
      <c r="A53" s="1">
        <f t="shared" si="0"/>
        <v>45658</v>
      </c>
      <c r="B53" t="s">
        <v>9</v>
      </c>
      <c r="C53" t="s">
        <v>10</v>
      </c>
      <c r="D53">
        <v>3122906</v>
      </c>
      <c r="E53">
        <v>999330</v>
      </c>
      <c r="F53">
        <v>562123</v>
      </c>
    </row>
    <row r="54" spans="1:6" x14ac:dyDescent="0.25">
      <c r="A54" s="1">
        <f t="shared" si="0"/>
        <v>45689</v>
      </c>
      <c r="B54" t="s">
        <v>6</v>
      </c>
      <c r="C54" t="s">
        <v>10</v>
      </c>
      <c r="D54">
        <v>1938852</v>
      </c>
      <c r="E54">
        <v>620433</v>
      </c>
      <c r="F54">
        <v>348993</v>
      </c>
    </row>
    <row r="55" spans="1:6" x14ac:dyDescent="0.25">
      <c r="A55" s="1">
        <f t="shared" si="0"/>
        <v>45689</v>
      </c>
      <c r="B55" t="s">
        <v>7</v>
      </c>
      <c r="C55" t="s">
        <v>10</v>
      </c>
      <c r="D55">
        <v>2646092</v>
      </c>
      <c r="E55">
        <v>846749</v>
      </c>
      <c r="F55">
        <v>476297</v>
      </c>
    </row>
    <row r="56" spans="1:6" x14ac:dyDescent="0.25">
      <c r="A56" s="1">
        <f t="shared" si="0"/>
        <v>45689</v>
      </c>
      <c r="B56" t="s">
        <v>8</v>
      </c>
      <c r="C56" t="s">
        <v>10</v>
      </c>
      <c r="D56">
        <v>3035407</v>
      </c>
      <c r="E56">
        <v>971330</v>
      </c>
      <c r="F56">
        <v>546373</v>
      </c>
    </row>
    <row r="57" spans="1:6" x14ac:dyDescent="0.25">
      <c r="A57" s="1">
        <f t="shared" si="0"/>
        <v>45689</v>
      </c>
      <c r="B57" t="s">
        <v>9</v>
      </c>
      <c r="C57" t="s">
        <v>10</v>
      </c>
      <c r="D57">
        <v>2851592</v>
      </c>
      <c r="E57">
        <v>912509</v>
      </c>
      <c r="F57">
        <v>513287</v>
      </c>
    </row>
    <row r="58" spans="1:6" x14ac:dyDescent="0.25">
      <c r="A58" s="1">
        <f t="shared" si="0"/>
        <v>45717</v>
      </c>
      <c r="B58" t="s">
        <v>6</v>
      </c>
      <c r="C58" t="s">
        <v>10</v>
      </c>
      <c r="D58">
        <v>1279649</v>
      </c>
      <c r="E58">
        <v>409488</v>
      </c>
      <c r="F58">
        <v>230337</v>
      </c>
    </row>
    <row r="59" spans="1:6" x14ac:dyDescent="0.25">
      <c r="A59" s="1">
        <f t="shared" si="0"/>
        <v>45717</v>
      </c>
      <c r="B59" t="s">
        <v>7</v>
      </c>
      <c r="C59" t="s">
        <v>10</v>
      </c>
      <c r="D59">
        <v>3256088</v>
      </c>
      <c r="E59">
        <v>1041948</v>
      </c>
      <c r="F59">
        <v>586096</v>
      </c>
    </row>
    <row r="60" spans="1:6" x14ac:dyDescent="0.25">
      <c r="A60" s="1">
        <f t="shared" si="0"/>
        <v>45717</v>
      </c>
      <c r="B60" t="s">
        <v>8</v>
      </c>
      <c r="C60" t="s">
        <v>10</v>
      </c>
      <c r="D60">
        <v>3128578</v>
      </c>
      <c r="E60">
        <v>1001145</v>
      </c>
      <c r="F60">
        <v>563144</v>
      </c>
    </row>
    <row r="61" spans="1:6" x14ac:dyDescent="0.25">
      <c r="A61" s="1">
        <f t="shared" si="0"/>
        <v>45717</v>
      </c>
      <c r="B61" t="s">
        <v>9</v>
      </c>
      <c r="C61" t="s">
        <v>10</v>
      </c>
      <c r="D61">
        <v>2030834</v>
      </c>
      <c r="E61">
        <v>649867</v>
      </c>
      <c r="F61">
        <v>365550</v>
      </c>
    </row>
    <row r="62" spans="1:6" x14ac:dyDescent="0.25">
      <c r="A62" s="1">
        <f t="shared" si="0"/>
        <v>45748</v>
      </c>
      <c r="B62" t="s">
        <v>6</v>
      </c>
      <c r="C62" t="s">
        <v>10</v>
      </c>
      <c r="D62">
        <v>1461766</v>
      </c>
      <c r="E62">
        <v>467765</v>
      </c>
      <c r="F62">
        <v>263118</v>
      </c>
    </row>
    <row r="63" spans="1:6" x14ac:dyDescent="0.25">
      <c r="A63" s="1">
        <f t="shared" si="0"/>
        <v>45748</v>
      </c>
      <c r="B63" t="s">
        <v>7</v>
      </c>
      <c r="C63" t="s">
        <v>10</v>
      </c>
      <c r="D63">
        <v>2325133</v>
      </c>
      <c r="E63">
        <v>744043</v>
      </c>
      <c r="F63">
        <v>418524</v>
      </c>
    </row>
    <row r="64" spans="1:6" x14ac:dyDescent="0.25">
      <c r="A64" s="1">
        <f t="shared" si="0"/>
        <v>45748</v>
      </c>
      <c r="B64" t="s">
        <v>8</v>
      </c>
      <c r="C64" t="s">
        <v>10</v>
      </c>
      <c r="D64">
        <v>1338598</v>
      </c>
      <c r="E64">
        <v>428351</v>
      </c>
      <c r="F64">
        <v>240948</v>
      </c>
    </row>
    <row r="65" spans="1:6" x14ac:dyDescent="0.25">
      <c r="A65" s="1">
        <f t="shared" si="0"/>
        <v>45748</v>
      </c>
      <c r="B65" t="s">
        <v>9</v>
      </c>
      <c r="C65" t="s">
        <v>10</v>
      </c>
      <c r="D65">
        <v>1250172</v>
      </c>
      <c r="E65">
        <v>400055</v>
      </c>
      <c r="F65">
        <v>225031</v>
      </c>
    </row>
    <row r="66" spans="1:6" x14ac:dyDescent="0.25">
      <c r="A66" s="1">
        <f t="shared" si="0"/>
        <v>45778</v>
      </c>
      <c r="B66" t="s">
        <v>6</v>
      </c>
      <c r="C66" t="s">
        <v>10</v>
      </c>
      <c r="D66">
        <v>2227295</v>
      </c>
      <c r="E66">
        <v>712734</v>
      </c>
      <c r="F66">
        <v>400913</v>
      </c>
    </row>
    <row r="67" spans="1:6" x14ac:dyDescent="0.25">
      <c r="A67" s="1">
        <f t="shared" si="0"/>
        <v>45778</v>
      </c>
      <c r="B67" t="s">
        <v>7</v>
      </c>
      <c r="C67" t="s">
        <v>10</v>
      </c>
      <c r="D67">
        <v>897829</v>
      </c>
      <c r="E67">
        <v>287305</v>
      </c>
      <c r="F67">
        <v>161609</v>
      </c>
    </row>
    <row r="68" spans="1:6" x14ac:dyDescent="0.25">
      <c r="A68" s="1">
        <f t="shared" ref="A68:A97" si="1">IF(MOD(ROW()-2,4)=0, DATE(YEAR(A67),MONTH(A67)+1,1), A67)</f>
        <v>45778</v>
      </c>
      <c r="B68" t="s">
        <v>8</v>
      </c>
      <c r="C68" t="s">
        <v>10</v>
      </c>
      <c r="D68">
        <v>2616182</v>
      </c>
      <c r="E68">
        <v>837178</v>
      </c>
      <c r="F68">
        <v>470913</v>
      </c>
    </row>
    <row r="69" spans="1:6" x14ac:dyDescent="0.25">
      <c r="A69" s="1">
        <f t="shared" si="1"/>
        <v>45778</v>
      </c>
      <c r="B69" t="s">
        <v>9</v>
      </c>
      <c r="C69" t="s">
        <v>10</v>
      </c>
      <c r="D69">
        <v>2229387</v>
      </c>
      <c r="E69">
        <v>713404</v>
      </c>
      <c r="F69">
        <v>401290</v>
      </c>
    </row>
    <row r="70" spans="1:6" x14ac:dyDescent="0.25">
      <c r="A70" s="1">
        <f t="shared" si="1"/>
        <v>45809</v>
      </c>
      <c r="B70" t="s">
        <v>6</v>
      </c>
      <c r="C70" t="s">
        <v>10</v>
      </c>
      <c r="D70">
        <v>2503504</v>
      </c>
      <c r="E70">
        <v>801121</v>
      </c>
      <c r="F70">
        <v>450631</v>
      </c>
    </row>
    <row r="71" spans="1:6" x14ac:dyDescent="0.25">
      <c r="A71" s="1">
        <f t="shared" si="1"/>
        <v>45809</v>
      </c>
      <c r="B71" t="s">
        <v>7</v>
      </c>
      <c r="C71" t="s">
        <v>10</v>
      </c>
      <c r="D71">
        <v>1573095</v>
      </c>
      <c r="E71">
        <v>503390</v>
      </c>
      <c r="F71">
        <v>283157</v>
      </c>
    </row>
    <row r="72" spans="1:6" x14ac:dyDescent="0.25">
      <c r="A72" s="1">
        <f t="shared" si="1"/>
        <v>45809</v>
      </c>
      <c r="B72" t="s">
        <v>8</v>
      </c>
      <c r="C72" t="s">
        <v>10</v>
      </c>
      <c r="D72">
        <v>1880864</v>
      </c>
      <c r="E72">
        <v>601876</v>
      </c>
      <c r="F72">
        <v>338556</v>
      </c>
    </row>
    <row r="73" spans="1:6" x14ac:dyDescent="0.25">
      <c r="A73" s="1">
        <f t="shared" si="1"/>
        <v>45809</v>
      </c>
      <c r="B73" t="s">
        <v>9</v>
      </c>
      <c r="C73" t="s">
        <v>10</v>
      </c>
      <c r="D73">
        <v>1908371</v>
      </c>
      <c r="E73">
        <v>610679</v>
      </c>
      <c r="F73">
        <v>343507</v>
      </c>
    </row>
    <row r="74" spans="1:6" x14ac:dyDescent="0.25">
      <c r="A74" s="1">
        <f t="shared" si="1"/>
        <v>45839</v>
      </c>
      <c r="B74" t="s">
        <v>6</v>
      </c>
      <c r="C74" t="s">
        <v>10</v>
      </c>
      <c r="D74">
        <v>947230</v>
      </c>
      <c r="E74">
        <v>303114</v>
      </c>
      <c r="F74">
        <v>170501</v>
      </c>
    </row>
    <row r="75" spans="1:6" x14ac:dyDescent="0.25">
      <c r="A75" s="1">
        <f t="shared" si="1"/>
        <v>45839</v>
      </c>
      <c r="B75" t="s">
        <v>7</v>
      </c>
      <c r="C75" t="s">
        <v>10</v>
      </c>
      <c r="D75">
        <v>2230239</v>
      </c>
      <c r="E75">
        <v>713676</v>
      </c>
      <c r="F75">
        <v>401443</v>
      </c>
    </row>
    <row r="76" spans="1:6" x14ac:dyDescent="0.25">
      <c r="A76" s="1">
        <f t="shared" si="1"/>
        <v>45839</v>
      </c>
      <c r="B76" t="s">
        <v>8</v>
      </c>
      <c r="C76" t="s">
        <v>10</v>
      </c>
      <c r="D76">
        <v>1566429</v>
      </c>
      <c r="E76">
        <v>501257</v>
      </c>
      <c r="F76">
        <v>281957</v>
      </c>
    </row>
    <row r="77" spans="1:6" x14ac:dyDescent="0.25">
      <c r="A77" s="1">
        <f t="shared" si="1"/>
        <v>45839</v>
      </c>
      <c r="B77" t="s">
        <v>9</v>
      </c>
      <c r="C77" t="s">
        <v>10</v>
      </c>
      <c r="D77">
        <v>948282</v>
      </c>
      <c r="E77">
        <v>303450</v>
      </c>
      <c r="F77">
        <v>170691</v>
      </c>
    </row>
    <row r="78" spans="1:6" x14ac:dyDescent="0.25">
      <c r="A78" s="1">
        <f t="shared" si="1"/>
        <v>45870</v>
      </c>
      <c r="B78" t="s">
        <v>6</v>
      </c>
      <c r="C78" t="s">
        <v>10</v>
      </c>
      <c r="D78">
        <v>2122905</v>
      </c>
      <c r="E78">
        <v>679330</v>
      </c>
      <c r="F78">
        <v>382123</v>
      </c>
    </row>
    <row r="79" spans="1:6" x14ac:dyDescent="0.25">
      <c r="A79" s="1">
        <f t="shared" si="1"/>
        <v>45870</v>
      </c>
      <c r="B79" t="s">
        <v>7</v>
      </c>
      <c r="C79" t="s">
        <v>10</v>
      </c>
      <c r="D79">
        <v>1187255</v>
      </c>
      <c r="E79">
        <v>379922</v>
      </c>
      <c r="F79">
        <v>213706</v>
      </c>
    </row>
    <row r="80" spans="1:6" x14ac:dyDescent="0.25">
      <c r="A80" s="1">
        <f t="shared" si="1"/>
        <v>45870</v>
      </c>
      <c r="B80" t="s">
        <v>8</v>
      </c>
      <c r="C80" t="s">
        <v>10</v>
      </c>
      <c r="D80">
        <v>1392026</v>
      </c>
      <c r="E80">
        <v>445448</v>
      </c>
      <c r="F80">
        <v>250565</v>
      </c>
    </row>
    <row r="81" spans="1:6" x14ac:dyDescent="0.25">
      <c r="A81" s="1">
        <f t="shared" si="1"/>
        <v>45870</v>
      </c>
      <c r="B81" t="s">
        <v>9</v>
      </c>
      <c r="C81" t="s">
        <v>10</v>
      </c>
      <c r="D81">
        <v>1134633</v>
      </c>
      <c r="E81">
        <v>363083</v>
      </c>
      <c r="F81">
        <v>204234</v>
      </c>
    </row>
    <row r="82" spans="1:6" x14ac:dyDescent="0.25">
      <c r="A82" s="1">
        <f t="shared" si="1"/>
        <v>45901</v>
      </c>
      <c r="B82" t="s">
        <v>6</v>
      </c>
      <c r="C82" t="s">
        <v>10</v>
      </c>
      <c r="D82">
        <v>1987827</v>
      </c>
      <c r="E82">
        <v>636105</v>
      </c>
      <c r="F82">
        <v>357809</v>
      </c>
    </row>
    <row r="83" spans="1:6" x14ac:dyDescent="0.25">
      <c r="A83" s="1">
        <f t="shared" si="1"/>
        <v>45901</v>
      </c>
      <c r="B83" t="s">
        <v>7</v>
      </c>
      <c r="C83" t="s">
        <v>10</v>
      </c>
      <c r="D83">
        <v>2661549</v>
      </c>
      <c r="E83">
        <v>851696</v>
      </c>
      <c r="F83">
        <v>479079</v>
      </c>
    </row>
    <row r="84" spans="1:6" x14ac:dyDescent="0.25">
      <c r="A84" s="1">
        <f t="shared" si="1"/>
        <v>45901</v>
      </c>
      <c r="B84" t="s">
        <v>8</v>
      </c>
      <c r="C84" t="s">
        <v>10</v>
      </c>
      <c r="D84">
        <v>1964071</v>
      </c>
      <c r="E84">
        <v>628503</v>
      </c>
      <c r="F84">
        <v>353533</v>
      </c>
    </row>
    <row r="85" spans="1:6" x14ac:dyDescent="0.25">
      <c r="A85" s="1">
        <f t="shared" si="1"/>
        <v>45901</v>
      </c>
      <c r="B85" t="s">
        <v>9</v>
      </c>
      <c r="C85" t="s">
        <v>10</v>
      </c>
      <c r="D85">
        <v>2596199</v>
      </c>
      <c r="E85">
        <v>830784</v>
      </c>
      <c r="F85">
        <v>467316</v>
      </c>
    </row>
    <row r="86" spans="1:6" x14ac:dyDescent="0.25">
      <c r="A86" s="1">
        <f t="shared" si="1"/>
        <v>45931</v>
      </c>
      <c r="B86" t="s">
        <v>6</v>
      </c>
      <c r="C86" t="s">
        <v>10</v>
      </c>
      <c r="D86">
        <v>2457073</v>
      </c>
      <c r="E86">
        <v>786263</v>
      </c>
      <c r="F86">
        <v>442273</v>
      </c>
    </row>
    <row r="87" spans="1:6" x14ac:dyDescent="0.25">
      <c r="A87" s="1">
        <f t="shared" si="1"/>
        <v>45931</v>
      </c>
      <c r="B87" t="s">
        <v>7</v>
      </c>
      <c r="C87" t="s">
        <v>10</v>
      </c>
      <c r="D87">
        <v>2749683</v>
      </c>
      <c r="E87">
        <v>879899</v>
      </c>
      <c r="F87">
        <v>494943</v>
      </c>
    </row>
    <row r="88" spans="1:6" x14ac:dyDescent="0.25">
      <c r="A88" s="1">
        <f t="shared" si="1"/>
        <v>45931</v>
      </c>
      <c r="B88" t="s">
        <v>8</v>
      </c>
      <c r="C88" t="s">
        <v>10</v>
      </c>
      <c r="D88">
        <v>1034103</v>
      </c>
      <c r="E88">
        <v>330913</v>
      </c>
      <c r="F88">
        <v>186139</v>
      </c>
    </row>
    <row r="89" spans="1:6" x14ac:dyDescent="0.25">
      <c r="A89" s="1">
        <f t="shared" si="1"/>
        <v>45931</v>
      </c>
      <c r="B89" t="s">
        <v>9</v>
      </c>
      <c r="C89" t="s">
        <v>10</v>
      </c>
      <c r="D89">
        <v>1478266</v>
      </c>
      <c r="E89">
        <v>473045</v>
      </c>
      <c r="F89">
        <v>266088</v>
      </c>
    </row>
    <row r="90" spans="1:6" x14ac:dyDescent="0.25">
      <c r="A90" s="1">
        <f t="shared" si="1"/>
        <v>45962</v>
      </c>
      <c r="B90" t="s">
        <v>6</v>
      </c>
      <c r="C90" t="s">
        <v>10</v>
      </c>
      <c r="D90">
        <v>2854596</v>
      </c>
      <c r="E90">
        <v>913471</v>
      </c>
      <c r="F90">
        <v>513827</v>
      </c>
    </row>
    <row r="91" spans="1:6" x14ac:dyDescent="0.25">
      <c r="A91" s="1">
        <f t="shared" si="1"/>
        <v>45962</v>
      </c>
      <c r="B91" t="s">
        <v>7</v>
      </c>
      <c r="C91" t="s">
        <v>10</v>
      </c>
      <c r="D91">
        <v>1266450</v>
      </c>
      <c r="E91">
        <v>405264</v>
      </c>
      <c r="F91">
        <v>227961</v>
      </c>
    </row>
    <row r="92" spans="1:6" x14ac:dyDescent="0.25">
      <c r="A92" s="1">
        <f t="shared" si="1"/>
        <v>45962</v>
      </c>
      <c r="B92" t="s">
        <v>8</v>
      </c>
      <c r="C92" t="s">
        <v>10</v>
      </c>
      <c r="D92">
        <v>3151044</v>
      </c>
      <c r="E92">
        <v>1008334</v>
      </c>
      <c r="F92">
        <v>567188</v>
      </c>
    </row>
    <row r="93" spans="1:6" x14ac:dyDescent="0.25">
      <c r="A93" s="1">
        <f t="shared" si="1"/>
        <v>45962</v>
      </c>
      <c r="B93" t="s">
        <v>9</v>
      </c>
      <c r="C93" t="s">
        <v>10</v>
      </c>
      <c r="D93">
        <v>3361118</v>
      </c>
      <c r="E93">
        <v>1075558</v>
      </c>
      <c r="F93">
        <v>605001</v>
      </c>
    </row>
    <row r="94" spans="1:6" x14ac:dyDescent="0.25">
      <c r="A94" s="1">
        <f t="shared" si="1"/>
        <v>45992</v>
      </c>
      <c r="B94" t="s">
        <v>6</v>
      </c>
      <c r="C94" t="s">
        <v>10</v>
      </c>
      <c r="D94">
        <v>2420802</v>
      </c>
      <c r="E94">
        <v>774657</v>
      </c>
      <c r="F94">
        <v>435744</v>
      </c>
    </row>
    <row r="95" spans="1:6" x14ac:dyDescent="0.25">
      <c r="A95" s="1">
        <f t="shared" si="1"/>
        <v>45992</v>
      </c>
      <c r="B95" t="s">
        <v>7</v>
      </c>
      <c r="C95" t="s">
        <v>10</v>
      </c>
      <c r="D95">
        <v>3260180</v>
      </c>
      <c r="E95">
        <v>1043258</v>
      </c>
      <c r="F95">
        <v>586832</v>
      </c>
    </row>
    <row r="96" spans="1:6" x14ac:dyDescent="0.25">
      <c r="A96" s="1">
        <f t="shared" si="1"/>
        <v>45992</v>
      </c>
      <c r="B96" t="s">
        <v>8</v>
      </c>
      <c r="C96" t="s">
        <v>10</v>
      </c>
      <c r="D96">
        <v>2244081</v>
      </c>
      <c r="E96">
        <v>718106</v>
      </c>
      <c r="F96">
        <v>403935</v>
      </c>
    </row>
    <row r="97" spans="1:6" x14ac:dyDescent="0.25">
      <c r="A97" s="1">
        <f t="shared" si="1"/>
        <v>45992</v>
      </c>
      <c r="B97" t="s">
        <v>9</v>
      </c>
      <c r="C97" t="s">
        <v>10</v>
      </c>
      <c r="D97">
        <v>2880413</v>
      </c>
      <c r="E97">
        <v>921732</v>
      </c>
      <c r="F97">
        <v>518474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ABDF-FA16-48E3-AAE0-DBB7A8C93A43}">
  <dimension ref="A1:F97"/>
  <sheetViews>
    <sheetView tabSelected="1" workbookViewId="0">
      <selection activeCell="E2" sqref="E2"/>
    </sheetView>
  </sheetViews>
  <sheetFormatPr defaultRowHeight="15" x14ac:dyDescent="0.25"/>
  <cols>
    <col min="1" max="1" width="10.42578125" style="1" bestFit="1" customWidth="1"/>
    <col min="4" max="4" width="15.42578125" customWidth="1"/>
    <col min="5" max="5" width="13.140625" customWidth="1"/>
    <col min="6" max="6" width="12.8554687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11</v>
      </c>
      <c r="E1" t="s">
        <v>12</v>
      </c>
      <c r="F1" t="s">
        <v>13</v>
      </c>
    </row>
    <row r="2" spans="1:6" x14ac:dyDescent="0.25">
      <c r="A2" s="1">
        <v>45292</v>
      </c>
      <c r="B2" t="s">
        <v>6</v>
      </c>
      <c r="C2" t="s">
        <v>10</v>
      </c>
      <c r="D2">
        <f>ROUND(Actuals!D2*1.05,0)</f>
        <v>2657577</v>
      </c>
      <c r="E2">
        <f>ROUND(D2*0.32,0)</f>
        <v>850425</v>
      </c>
      <c r="F2">
        <f>ROUND(D2*0.18,0)</f>
        <v>478364</v>
      </c>
    </row>
    <row r="3" spans="1:6" x14ac:dyDescent="0.25">
      <c r="A3" s="1">
        <f>IF(MOD(ROW()-2,4)=0, DATE(YEAR(A2),MONTH(A2)+1,1), A2)</f>
        <v>45292</v>
      </c>
      <c r="B3" t="s">
        <v>7</v>
      </c>
      <c r="C3" t="s">
        <v>10</v>
      </c>
      <c r="D3">
        <f>ROUND(Actuals!D3*1.05,0)</f>
        <v>2942961</v>
      </c>
      <c r="E3">
        <f t="shared" ref="E3:E66" si="0">ROUND(D3*0.32,0)</f>
        <v>941748</v>
      </c>
      <c r="F3">
        <f t="shared" ref="F3:F66" si="1">ROUND(D3*0.18,0)</f>
        <v>529733</v>
      </c>
    </row>
    <row r="4" spans="1:6" x14ac:dyDescent="0.25">
      <c r="A4" s="1">
        <f t="shared" ref="A4:A67" si="2">IF(MOD(ROW()-2,4)=0, DATE(YEAR(A3),MONTH(A3)+1,1), A3)</f>
        <v>45292</v>
      </c>
      <c r="B4" t="s">
        <v>8</v>
      </c>
      <c r="C4" t="s">
        <v>10</v>
      </c>
      <c r="D4">
        <f>ROUND(Actuals!D4*1.05,0)</f>
        <v>2398142</v>
      </c>
      <c r="E4">
        <f t="shared" si="0"/>
        <v>767405</v>
      </c>
      <c r="F4">
        <f t="shared" si="1"/>
        <v>431666</v>
      </c>
    </row>
    <row r="5" spans="1:6" x14ac:dyDescent="0.25">
      <c r="A5" s="1">
        <f t="shared" si="2"/>
        <v>45292</v>
      </c>
      <c r="B5" t="s">
        <v>9</v>
      </c>
      <c r="C5" t="s">
        <v>10</v>
      </c>
      <c r="D5">
        <f>ROUND(Actuals!D5*1.05,0)</f>
        <v>1395780</v>
      </c>
      <c r="E5">
        <f t="shared" si="0"/>
        <v>446650</v>
      </c>
      <c r="F5">
        <f t="shared" si="1"/>
        <v>251240</v>
      </c>
    </row>
    <row r="6" spans="1:6" x14ac:dyDescent="0.25">
      <c r="A6" s="1">
        <f t="shared" si="2"/>
        <v>45323</v>
      </c>
      <c r="B6" t="s">
        <v>6</v>
      </c>
      <c r="C6" t="s">
        <v>10</v>
      </c>
      <c r="D6">
        <f>ROUND(Actuals!D6*1.05,0)</f>
        <v>2796978</v>
      </c>
      <c r="E6">
        <f t="shared" si="0"/>
        <v>895033</v>
      </c>
      <c r="F6">
        <f t="shared" si="1"/>
        <v>503456</v>
      </c>
    </row>
    <row r="7" spans="1:6" x14ac:dyDescent="0.25">
      <c r="A7" s="1">
        <f t="shared" si="2"/>
        <v>45323</v>
      </c>
      <c r="B7" t="s">
        <v>7</v>
      </c>
      <c r="C7" t="s">
        <v>10</v>
      </c>
      <c r="D7">
        <f>ROUND(Actuals!D7*1.05,0)</f>
        <v>2092028</v>
      </c>
      <c r="E7">
        <f t="shared" si="0"/>
        <v>669449</v>
      </c>
      <c r="F7">
        <f t="shared" si="1"/>
        <v>376565</v>
      </c>
    </row>
    <row r="8" spans="1:6" x14ac:dyDescent="0.25">
      <c r="A8" s="1">
        <f t="shared" si="2"/>
        <v>45323</v>
      </c>
      <c r="B8" t="s">
        <v>8</v>
      </c>
      <c r="C8" t="s">
        <v>10</v>
      </c>
      <c r="D8">
        <f>ROUND(Actuals!D8*1.05,0)</f>
        <v>2494354</v>
      </c>
      <c r="E8">
        <f t="shared" si="0"/>
        <v>798193</v>
      </c>
      <c r="F8">
        <f t="shared" si="1"/>
        <v>448984</v>
      </c>
    </row>
    <row r="9" spans="1:6" x14ac:dyDescent="0.25">
      <c r="A9" s="1">
        <f t="shared" si="2"/>
        <v>45323</v>
      </c>
      <c r="B9" t="s">
        <v>9</v>
      </c>
      <c r="C9" t="s">
        <v>10</v>
      </c>
      <c r="D9">
        <f>ROUND(Actuals!D9*1.05,0)</f>
        <v>2328311</v>
      </c>
      <c r="E9">
        <f t="shared" si="0"/>
        <v>745060</v>
      </c>
      <c r="F9">
        <f t="shared" si="1"/>
        <v>419096</v>
      </c>
    </row>
    <row r="10" spans="1:6" x14ac:dyDescent="0.25">
      <c r="A10" s="1">
        <f t="shared" si="2"/>
        <v>45352</v>
      </c>
      <c r="B10" t="s">
        <v>6</v>
      </c>
      <c r="C10" t="s">
        <v>10</v>
      </c>
      <c r="D10">
        <f>ROUND(Actuals!D10*1.05,0)</f>
        <v>956368</v>
      </c>
      <c r="E10">
        <f t="shared" si="0"/>
        <v>306038</v>
      </c>
      <c r="F10">
        <f t="shared" si="1"/>
        <v>172146</v>
      </c>
    </row>
    <row r="11" spans="1:6" x14ac:dyDescent="0.25">
      <c r="A11" s="1">
        <f t="shared" si="2"/>
        <v>45352</v>
      </c>
      <c r="B11" t="s">
        <v>7</v>
      </c>
      <c r="C11" t="s">
        <v>10</v>
      </c>
      <c r="D11">
        <f>ROUND(Actuals!D11*1.05,0)</f>
        <v>1891709</v>
      </c>
      <c r="E11">
        <f t="shared" si="0"/>
        <v>605347</v>
      </c>
      <c r="F11">
        <f t="shared" si="1"/>
        <v>340508</v>
      </c>
    </row>
    <row r="12" spans="1:6" x14ac:dyDescent="0.25">
      <c r="A12" s="1">
        <f t="shared" si="2"/>
        <v>45352</v>
      </c>
      <c r="B12" t="s">
        <v>8</v>
      </c>
      <c r="C12" t="s">
        <v>10</v>
      </c>
      <c r="D12">
        <f>ROUND(Actuals!D12*1.05,0)</f>
        <v>1299055</v>
      </c>
      <c r="E12">
        <f t="shared" si="0"/>
        <v>415698</v>
      </c>
      <c r="F12">
        <f t="shared" si="1"/>
        <v>233830</v>
      </c>
    </row>
    <row r="13" spans="1:6" x14ac:dyDescent="0.25">
      <c r="A13" s="1">
        <f t="shared" si="2"/>
        <v>45352</v>
      </c>
      <c r="B13" t="s">
        <v>9</v>
      </c>
      <c r="C13" t="s">
        <v>10</v>
      </c>
      <c r="D13">
        <f>ROUND(Actuals!D13*1.05,0)</f>
        <v>2197382</v>
      </c>
      <c r="E13">
        <f t="shared" si="0"/>
        <v>703162</v>
      </c>
      <c r="F13">
        <f t="shared" si="1"/>
        <v>395529</v>
      </c>
    </row>
    <row r="14" spans="1:6" x14ac:dyDescent="0.25">
      <c r="A14" s="1">
        <f t="shared" si="2"/>
        <v>45383</v>
      </c>
      <c r="B14" t="s">
        <v>6</v>
      </c>
      <c r="C14" t="s">
        <v>10</v>
      </c>
      <c r="D14">
        <f>ROUND(Actuals!D14*1.05,0)</f>
        <v>3405199</v>
      </c>
      <c r="E14">
        <f t="shared" si="0"/>
        <v>1089664</v>
      </c>
      <c r="F14">
        <f t="shared" si="1"/>
        <v>612936</v>
      </c>
    </row>
    <row r="15" spans="1:6" x14ac:dyDescent="0.25">
      <c r="A15" s="1">
        <f t="shared" si="2"/>
        <v>45383</v>
      </c>
      <c r="B15" t="s">
        <v>7</v>
      </c>
      <c r="C15" t="s">
        <v>10</v>
      </c>
      <c r="D15">
        <f>ROUND(Actuals!D15*1.05,0)</f>
        <v>2209581</v>
      </c>
      <c r="E15">
        <f t="shared" si="0"/>
        <v>707066</v>
      </c>
      <c r="F15">
        <f t="shared" si="1"/>
        <v>397725</v>
      </c>
    </row>
    <row r="16" spans="1:6" x14ac:dyDescent="0.25">
      <c r="A16" s="1">
        <f t="shared" si="2"/>
        <v>45383</v>
      </c>
      <c r="B16" t="s">
        <v>8</v>
      </c>
      <c r="C16" t="s">
        <v>10</v>
      </c>
      <c r="D16">
        <f>ROUND(Actuals!D16*1.05,0)</f>
        <v>2880353</v>
      </c>
      <c r="E16">
        <f t="shared" si="0"/>
        <v>921713</v>
      </c>
      <c r="F16">
        <f t="shared" si="1"/>
        <v>518464</v>
      </c>
    </row>
    <row r="17" spans="1:6" x14ac:dyDescent="0.25">
      <c r="A17" s="1">
        <f t="shared" si="2"/>
        <v>45383</v>
      </c>
      <c r="B17" t="s">
        <v>9</v>
      </c>
      <c r="C17" t="s">
        <v>10</v>
      </c>
      <c r="D17">
        <f>ROUND(Actuals!D17*1.05,0)</f>
        <v>3423484</v>
      </c>
      <c r="E17">
        <f t="shared" si="0"/>
        <v>1095515</v>
      </c>
      <c r="F17">
        <f t="shared" si="1"/>
        <v>616227</v>
      </c>
    </row>
    <row r="18" spans="1:6" x14ac:dyDescent="0.25">
      <c r="A18" s="1">
        <f t="shared" si="2"/>
        <v>45413</v>
      </c>
      <c r="B18" t="s">
        <v>6</v>
      </c>
      <c r="C18" t="s">
        <v>10</v>
      </c>
      <c r="D18">
        <f>ROUND(Actuals!D18*1.05,0)</f>
        <v>1539059</v>
      </c>
      <c r="E18">
        <f t="shared" si="0"/>
        <v>492499</v>
      </c>
      <c r="F18">
        <f t="shared" si="1"/>
        <v>277031</v>
      </c>
    </row>
    <row r="19" spans="1:6" x14ac:dyDescent="0.25">
      <c r="A19" s="1">
        <f t="shared" si="2"/>
        <v>45413</v>
      </c>
      <c r="B19" t="s">
        <v>7</v>
      </c>
      <c r="C19" t="s">
        <v>10</v>
      </c>
      <c r="D19">
        <f>ROUND(Actuals!D19*1.05,0)</f>
        <v>2734468</v>
      </c>
      <c r="E19">
        <f t="shared" si="0"/>
        <v>875030</v>
      </c>
      <c r="F19">
        <f t="shared" si="1"/>
        <v>492204</v>
      </c>
    </row>
    <row r="20" spans="1:6" x14ac:dyDescent="0.25">
      <c r="A20" s="1">
        <f t="shared" si="2"/>
        <v>45413</v>
      </c>
      <c r="B20" t="s">
        <v>8</v>
      </c>
      <c r="C20" t="s">
        <v>10</v>
      </c>
      <c r="D20">
        <f>ROUND(Actuals!D20*1.05,0)</f>
        <v>1022503</v>
      </c>
      <c r="E20">
        <f t="shared" si="0"/>
        <v>327201</v>
      </c>
      <c r="F20">
        <f t="shared" si="1"/>
        <v>184051</v>
      </c>
    </row>
    <row r="21" spans="1:6" x14ac:dyDescent="0.25">
      <c r="A21" s="1">
        <f t="shared" si="2"/>
        <v>45413</v>
      </c>
      <c r="B21" t="s">
        <v>9</v>
      </c>
      <c r="C21" t="s">
        <v>10</v>
      </c>
      <c r="D21">
        <f>ROUND(Actuals!D21*1.05,0)</f>
        <v>3619222</v>
      </c>
      <c r="E21">
        <f t="shared" si="0"/>
        <v>1158151</v>
      </c>
      <c r="F21">
        <f t="shared" si="1"/>
        <v>651460</v>
      </c>
    </row>
    <row r="22" spans="1:6" x14ac:dyDescent="0.25">
      <c r="A22" s="1">
        <f t="shared" si="2"/>
        <v>45444</v>
      </c>
      <c r="B22" t="s">
        <v>6</v>
      </c>
      <c r="C22" t="s">
        <v>10</v>
      </c>
      <c r="D22">
        <f>ROUND(Actuals!D22*1.05,0)</f>
        <v>2496289</v>
      </c>
      <c r="E22">
        <f t="shared" si="0"/>
        <v>798812</v>
      </c>
      <c r="F22">
        <f t="shared" si="1"/>
        <v>449332</v>
      </c>
    </row>
    <row r="23" spans="1:6" x14ac:dyDescent="0.25">
      <c r="A23" s="1">
        <f t="shared" si="2"/>
        <v>45444</v>
      </c>
      <c r="B23" t="s">
        <v>7</v>
      </c>
      <c r="C23" t="s">
        <v>10</v>
      </c>
      <c r="D23">
        <f>ROUND(Actuals!D23*1.05,0)</f>
        <v>2554340</v>
      </c>
      <c r="E23">
        <f t="shared" si="0"/>
        <v>817389</v>
      </c>
      <c r="F23">
        <f t="shared" si="1"/>
        <v>459781</v>
      </c>
    </row>
    <row r="24" spans="1:6" x14ac:dyDescent="0.25">
      <c r="A24" s="1">
        <f t="shared" si="2"/>
        <v>45444</v>
      </c>
      <c r="B24" t="s">
        <v>8</v>
      </c>
      <c r="C24" t="s">
        <v>10</v>
      </c>
      <c r="D24">
        <f>ROUND(Actuals!D24*1.05,0)</f>
        <v>1302376</v>
      </c>
      <c r="E24">
        <f t="shared" si="0"/>
        <v>416760</v>
      </c>
      <c r="F24">
        <f t="shared" si="1"/>
        <v>234428</v>
      </c>
    </row>
    <row r="25" spans="1:6" x14ac:dyDescent="0.25">
      <c r="A25" s="1">
        <f t="shared" si="2"/>
        <v>45444</v>
      </c>
      <c r="B25" t="s">
        <v>9</v>
      </c>
      <c r="C25" t="s">
        <v>10</v>
      </c>
      <c r="D25">
        <f>ROUND(Actuals!D25*1.05,0)</f>
        <v>1996565</v>
      </c>
      <c r="E25">
        <f t="shared" si="0"/>
        <v>638901</v>
      </c>
      <c r="F25">
        <f t="shared" si="1"/>
        <v>359382</v>
      </c>
    </row>
    <row r="26" spans="1:6" x14ac:dyDescent="0.25">
      <c r="A26" s="1">
        <f t="shared" si="2"/>
        <v>45474</v>
      </c>
      <c r="B26" t="s">
        <v>6</v>
      </c>
      <c r="C26" t="s">
        <v>10</v>
      </c>
      <c r="D26">
        <f>ROUND(Actuals!D26*1.05,0)</f>
        <v>1826585</v>
      </c>
      <c r="E26">
        <f t="shared" si="0"/>
        <v>584507</v>
      </c>
      <c r="F26">
        <f t="shared" si="1"/>
        <v>328785</v>
      </c>
    </row>
    <row r="27" spans="1:6" x14ac:dyDescent="0.25">
      <c r="A27" s="1">
        <f t="shared" si="2"/>
        <v>45474</v>
      </c>
      <c r="B27" t="s">
        <v>7</v>
      </c>
      <c r="C27" t="s">
        <v>10</v>
      </c>
      <c r="D27">
        <f>ROUND(Actuals!D27*1.05,0)</f>
        <v>938030</v>
      </c>
      <c r="E27">
        <f t="shared" si="0"/>
        <v>300170</v>
      </c>
      <c r="F27">
        <f t="shared" si="1"/>
        <v>168845</v>
      </c>
    </row>
    <row r="28" spans="1:6" x14ac:dyDescent="0.25">
      <c r="A28" s="1">
        <f t="shared" si="2"/>
        <v>45474</v>
      </c>
      <c r="B28" t="s">
        <v>8</v>
      </c>
      <c r="C28" t="s">
        <v>10</v>
      </c>
      <c r="D28">
        <f>ROUND(Actuals!D28*1.05,0)</f>
        <v>2866192</v>
      </c>
      <c r="E28">
        <f t="shared" si="0"/>
        <v>917181</v>
      </c>
      <c r="F28">
        <f t="shared" si="1"/>
        <v>515915</v>
      </c>
    </row>
    <row r="29" spans="1:6" x14ac:dyDescent="0.25">
      <c r="A29" s="1">
        <f t="shared" si="2"/>
        <v>45474</v>
      </c>
      <c r="B29" t="s">
        <v>9</v>
      </c>
      <c r="C29" t="s">
        <v>10</v>
      </c>
      <c r="D29">
        <f>ROUND(Actuals!D29*1.05,0)</f>
        <v>2749992</v>
      </c>
      <c r="E29">
        <f t="shared" si="0"/>
        <v>879997</v>
      </c>
      <c r="F29">
        <f t="shared" si="1"/>
        <v>494999</v>
      </c>
    </row>
    <row r="30" spans="1:6" x14ac:dyDescent="0.25">
      <c r="A30" s="1">
        <f t="shared" si="2"/>
        <v>45505</v>
      </c>
      <c r="B30" t="s">
        <v>6</v>
      </c>
      <c r="C30" t="s">
        <v>10</v>
      </c>
      <c r="D30">
        <f>ROUND(Actuals!D30*1.05,0)</f>
        <v>1068012</v>
      </c>
      <c r="E30">
        <f t="shared" si="0"/>
        <v>341764</v>
      </c>
      <c r="F30">
        <f t="shared" si="1"/>
        <v>192242</v>
      </c>
    </row>
    <row r="31" spans="1:6" x14ac:dyDescent="0.25">
      <c r="A31" s="1">
        <f t="shared" si="2"/>
        <v>45505</v>
      </c>
      <c r="B31" t="s">
        <v>7</v>
      </c>
      <c r="C31" t="s">
        <v>10</v>
      </c>
      <c r="D31">
        <f>ROUND(Actuals!D31*1.05,0)</f>
        <v>1806562</v>
      </c>
      <c r="E31">
        <f t="shared" si="0"/>
        <v>578100</v>
      </c>
      <c r="F31">
        <f t="shared" si="1"/>
        <v>325181</v>
      </c>
    </row>
    <row r="32" spans="1:6" x14ac:dyDescent="0.25">
      <c r="A32" s="1">
        <f t="shared" si="2"/>
        <v>45505</v>
      </c>
      <c r="B32" t="s">
        <v>8</v>
      </c>
      <c r="C32" t="s">
        <v>10</v>
      </c>
      <c r="D32">
        <f>ROUND(Actuals!D32*1.05,0)</f>
        <v>911314</v>
      </c>
      <c r="E32">
        <f t="shared" si="0"/>
        <v>291620</v>
      </c>
      <c r="F32">
        <f t="shared" si="1"/>
        <v>164037</v>
      </c>
    </row>
    <row r="33" spans="1:6" x14ac:dyDescent="0.25">
      <c r="A33" s="1">
        <f t="shared" si="2"/>
        <v>45505</v>
      </c>
      <c r="B33" t="s">
        <v>9</v>
      </c>
      <c r="C33" t="s">
        <v>10</v>
      </c>
      <c r="D33">
        <f>ROUND(Actuals!D33*1.05,0)</f>
        <v>3244196</v>
      </c>
      <c r="E33">
        <f t="shared" si="0"/>
        <v>1038143</v>
      </c>
      <c r="F33">
        <f t="shared" si="1"/>
        <v>583955</v>
      </c>
    </row>
    <row r="34" spans="1:6" x14ac:dyDescent="0.25">
      <c r="A34" s="1">
        <f t="shared" si="2"/>
        <v>45536</v>
      </c>
      <c r="B34" t="s">
        <v>6</v>
      </c>
      <c r="C34" t="s">
        <v>10</v>
      </c>
      <c r="D34">
        <f>ROUND(Actuals!D34*1.05,0)</f>
        <v>1290997</v>
      </c>
      <c r="E34">
        <f t="shared" si="0"/>
        <v>413119</v>
      </c>
      <c r="F34">
        <f t="shared" si="1"/>
        <v>232379</v>
      </c>
    </row>
    <row r="35" spans="1:6" x14ac:dyDescent="0.25">
      <c r="A35" s="1">
        <f t="shared" si="2"/>
        <v>45536</v>
      </c>
      <c r="B35" t="s">
        <v>7</v>
      </c>
      <c r="C35" t="s">
        <v>10</v>
      </c>
      <c r="D35">
        <f>ROUND(Actuals!D35*1.05,0)</f>
        <v>1030726</v>
      </c>
      <c r="E35">
        <f t="shared" si="0"/>
        <v>329832</v>
      </c>
      <c r="F35">
        <f t="shared" si="1"/>
        <v>185531</v>
      </c>
    </row>
    <row r="36" spans="1:6" x14ac:dyDescent="0.25">
      <c r="A36" s="1">
        <f t="shared" si="2"/>
        <v>45536</v>
      </c>
      <c r="B36" t="s">
        <v>8</v>
      </c>
      <c r="C36" t="s">
        <v>10</v>
      </c>
      <c r="D36">
        <f>ROUND(Actuals!D36*1.05,0)</f>
        <v>2725815</v>
      </c>
      <c r="E36">
        <f t="shared" si="0"/>
        <v>872261</v>
      </c>
      <c r="F36">
        <f t="shared" si="1"/>
        <v>490647</v>
      </c>
    </row>
    <row r="37" spans="1:6" x14ac:dyDescent="0.25">
      <c r="A37" s="1">
        <f t="shared" si="2"/>
        <v>45536</v>
      </c>
      <c r="B37" t="s">
        <v>9</v>
      </c>
      <c r="C37" t="s">
        <v>10</v>
      </c>
      <c r="D37">
        <f>ROUND(Actuals!D37*1.05,0)</f>
        <v>1913193</v>
      </c>
      <c r="E37">
        <f t="shared" si="0"/>
        <v>612222</v>
      </c>
      <c r="F37">
        <f t="shared" si="1"/>
        <v>344375</v>
      </c>
    </row>
    <row r="38" spans="1:6" x14ac:dyDescent="0.25">
      <c r="A38" s="1">
        <f t="shared" si="2"/>
        <v>45566</v>
      </c>
      <c r="B38" t="s">
        <v>6</v>
      </c>
      <c r="C38" t="s">
        <v>10</v>
      </c>
      <c r="D38">
        <f>ROUND(Actuals!D38*1.05,0)</f>
        <v>1514627</v>
      </c>
      <c r="E38">
        <f t="shared" si="0"/>
        <v>484681</v>
      </c>
      <c r="F38">
        <f t="shared" si="1"/>
        <v>272633</v>
      </c>
    </row>
    <row r="39" spans="1:6" x14ac:dyDescent="0.25">
      <c r="A39" s="1">
        <f t="shared" si="2"/>
        <v>45566</v>
      </c>
      <c r="B39" t="s">
        <v>7</v>
      </c>
      <c r="C39" t="s">
        <v>10</v>
      </c>
      <c r="D39">
        <f>ROUND(Actuals!D39*1.05,0)</f>
        <v>873856</v>
      </c>
      <c r="E39">
        <f t="shared" si="0"/>
        <v>279634</v>
      </c>
      <c r="F39">
        <f t="shared" si="1"/>
        <v>157294</v>
      </c>
    </row>
    <row r="40" spans="1:6" x14ac:dyDescent="0.25">
      <c r="A40" s="1">
        <f t="shared" si="2"/>
        <v>45566</v>
      </c>
      <c r="B40" t="s">
        <v>8</v>
      </c>
      <c r="C40" t="s">
        <v>10</v>
      </c>
      <c r="D40">
        <f>ROUND(Actuals!D40*1.05,0)</f>
        <v>3592628</v>
      </c>
      <c r="E40">
        <f t="shared" si="0"/>
        <v>1149641</v>
      </c>
      <c r="F40">
        <f t="shared" si="1"/>
        <v>646673</v>
      </c>
    </row>
    <row r="41" spans="1:6" x14ac:dyDescent="0.25">
      <c r="A41" s="1">
        <f t="shared" si="2"/>
        <v>45566</v>
      </c>
      <c r="B41" t="s">
        <v>9</v>
      </c>
      <c r="C41" t="s">
        <v>10</v>
      </c>
      <c r="D41">
        <f>ROUND(Actuals!D41*1.05,0)</f>
        <v>1723777</v>
      </c>
      <c r="E41">
        <f t="shared" si="0"/>
        <v>551609</v>
      </c>
      <c r="F41">
        <f t="shared" si="1"/>
        <v>310280</v>
      </c>
    </row>
    <row r="42" spans="1:6" x14ac:dyDescent="0.25">
      <c r="A42" s="1">
        <f t="shared" si="2"/>
        <v>45597</v>
      </c>
      <c r="B42" t="s">
        <v>6</v>
      </c>
      <c r="C42" t="s">
        <v>10</v>
      </c>
      <c r="D42">
        <f>ROUND(Actuals!D42*1.05,0)</f>
        <v>3643587</v>
      </c>
      <c r="E42">
        <f t="shared" si="0"/>
        <v>1165948</v>
      </c>
      <c r="F42">
        <f t="shared" si="1"/>
        <v>655846</v>
      </c>
    </row>
    <row r="43" spans="1:6" x14ac:dyDescent="0.25">
      <c r="A43" s="1">
        <f t="shared" si="2"/>
        <v>45597</v>
      </c>
      <c r="B43" t="s">
        <v>7</v>
      </c>
      <c r="C43" t="s">
        <v>10</v>
      </c>
      <c r="D43">
        <f>ROUND(Actuals!D43*1.05,0)</f>
        <v>1735418</v>
      </c>
      <c r="E43">
        <f t="shared" si="0"/>
        <v>555334</v>
      </c>
      <c r="F43">
        <f t="shared" si="1"/>
        <v>312375</v>
      </c>
    </row>
    <row r="44" spans="1:6" x14ac:dyDescent="0.25">
      <c r="A44" s="1">
        <f t="shared" si="2"/>
        <v>45597</v>
      </c>
      <c r="B44" t="s">
        <v>8</v>
      </c>
      <c r="C44" t="s">
        <v>10</v>
      </c>
      <c r="D44">
        <f>ROUND(Actuals!D44*1.05,0)</f>
        <v>2795175</v>
      </c>
      <c r="E44">
        <f t="shared" si="0"/>
        <v>894456</v>
      </c>
      <c r="F44">
        <f t="shared" si="1"/>
        <v>503132</v>
      </c>
    </row>
    <row r="45" spans="1:6" x14ac:dyDescent="0.25">
      <c r="A45" s="1">
        <f t="shared" si="2"/>
        <v>45597</v>
      </c>
      <c r="B45" t="s">
        <v>9</v>
      </c>
      <c r="C45" t="s">
        <v>10</v>
      </c>
      <c r="D45">
        <f>ROUND(Actuals!D45*1.05,0)</f>
        <v>1271122</v>
      </c>
      <c r="E45">
        <f t="shared" si="0"/>
        <v>406759</v>
      </c>
      <c r="F45">
        <f t="shared" si="1"/>
        <v>228802</v>
      </c>
    </row>
    <row r="46" spans="1:6" x14ac:dyDescent="0.25">
      <c r="A46" s="1">
        <f t="shared" si="2"/>
        <v>45627</v>
      </c>
      <c r="B46" t="s">
        <v>6</v>
      </c>
      <c r="C46" t="s">
        <v>10</v>
      </c>
      <c r="D46">
        <f>ROUND(Actuals!D46*1.05,0)</f>
        <v>1786201</v>
      </c>
      <c r="E46">
        <f t="shared" si="0"/>
        <v>571584</v>
      </c>
      <c r="F46">
        <f t="shared" si="1"/>
        <v>321516</v>
      </c>
    </row>
    <row r="47" spans="1:6" x14ac:dyDescent="0.25">
      <c r="A47" s="1">
        <f t="shared" si="2"/>
        <v>45627</v>
      </c>
      <c r="B47" t="s">
        <v>7</v>
      </c>
      <c r="C47" t="s">
        <v>10</v>
      </c>
      <c r="D47">
        <f>ROUND(Actuals!D47*1.05,0)</f>
        <v>2403480</v>
      </c>
      <c r="E47">
        <f t="shared" si="0"/>
        <v>769114</v>
      </c>
      <c r="F47">
        <f t="shared" si="1"/>
        <v>432626</v>
      </c>
    </row>
    <row r="48" spans="1:6" x14ac:dyDescent="0.25">
      <c r="A48" s="1">
        <f t="shared" si="2"/>
        <v>45627</v>
      </c>
      <c r="B48" t="s">
        <v>8</v>
      </c>
      <c r="C48" t="s">
        <v>10</v>
      </c>
      <c r="D48">
        <f>ROUND(Actuals!D48*1.05,0)</f>
        <v>1423056</v>
      </c>
      <c r="E48">
        <f t="shared" si="0"/>
        <v>455378</v>
      </c>
      <c r="F48">
        <f t="shared" si="1"/>
        <v>256150</v>
      </c>
    </row>
    <row r="49" spans="1:6" x14ac:dyDescent="0.25">
      <c r="A49" s="1">
        <f t="shared" si="2"/>
        <v>45627</v>
      </c>
      <c r="B49" t="s">
        <v>9</v>
      </c>
      <c r="C49" t="s">
        <v>10</v>
      </c>
      <c r="D49">
        <f>ROUND(Actuals!D49*1.05,0)</f>
        <v>1276438</v>
      </c>
      <c r="E49">
        <f t="shared" si="0"/>
        <v>408460</v>
      </c>
      <c r="F49">
        <f t="shared" si="1"/>
        <v>229759</v>
      </c>
    </row>
    <row r="50" spans="1:6" x14ac:dyDescent="0.25">
      <c r="A50" s="1">
        <f t="shared" si="2"/>
        <v>45658</v>
      </c>
      <c r="B50" t="s">
        <v>6</v>
      </c>
      <c r="C50" t="s">
        <v>10</v>
      </c>
      <c r="D50">
        <f>ROUND(Actuals!D50*1.05,0)</f>
        <v>2431197</v>
      </c>
      <c r="E50">
        <f t="shared" si="0"/>
        <v>777983</v>
      </c>
      <c r="F50">
        <f t="shared" si="1"/>
        <v>437615</v>
      </c>
    </row>
    <row r="51" spans="1:6" x14ac:dyDescent="0.25">
      <c r="A51" s="1">
        <f t="shared" si="2"/>
        <v>45658</v>
      </c>
      <c r="B51" t="s">
        <v>7</v>
      </c>
      <c r="C51" t="s">
        <v>10</v>
      </c>
      <c r="D51">
        <f>ROUND(Actuals!D51*1.05,0)</f>
        <v>2622068</v>
      </c>
      <c r="E51">
        <f t="shared" si="0"/>
        <v>839062</v>
      </c>
      <c r="F51">
        <f t="shared" si="1"/>
        <v>471972</v>
      </c>
    </row>
    <row r="52" spans="1:6" x14ac:dyDescent="0.25">
      <c r="A52" s="1">
        <f t="shared" si="2"/>
        <v>45658</v>
      </c>
      <c r="B52" t="s">
        <v>8</v>
      </c>
      <c r="C52" t="s">
        <v>10</v>
      </c>
      <c r="D52">
        <f>ROUND(Actuals!D52*1.05,0)</f>
        <v>1941561</v>
      </c>
      <c r="E52">
        <f t="shared" si="0"/>
        <v>621300</v>
      </c>
      <c r="F52">
        <f t="shared" si="1"/>
        <v>349481</v>
      </c>
    </row>
    <row r="53" spans="1:6" x14ac:dyDescent="0.25">
      <c r="A53" s="1">
        <f t="shared" si="2"/>
        <v>45658</v>
      </c>
      <c r="B53" t="s">
        <v>9</v>
      </c>
      <c r="C53" t="s">
        <v>10</v>
      </c>
      <c r="D53">
        <f>ROUND(Actuals!D53*1.05,0)</f>
        <v>3279051</v>
      </c>
      <c r="E53">
        <f t="shared" si="0"/>
        <v>1049296</v>
      </c>
      <c r="F53">
        <f t="shared" si="1"/>
        <v>590229</v>
      </c>
    </row>
    <row r="54" spans="1:6" x14ac:dyDescent="0.25">
      <c r="A54" s="1">
        <f t="shared" si="2"/>
        <v>45689</v>
      </c>
      <c r="B54" t="s">
        <v>6</v>
      </c>
      <c r="C54" t="s">
        <v>10</v>
      </c>
      <c r="D54">
        <f>ROUND(Actuals!D54*1.05,0)</f>
        <v>2035795</v>
      </c>
      <c r="E54">
        <f t="shared" si="0"/>
        <v>651454</v>
      </c>
      <c r="F54">
        <f t="shared" si="1"/>
        <v>366443</v>
      </c>
    </row>
    <row r="55" spans="1:6" x14ac:dyDescent="0.25">
      <c r="A55" s="1">
        <f t="shared" si="2"/>
        <v>45689</v>
      </c>
      <c r="B55" t="s">
        <v>7</v>
      </c>
      <c r="C55" t="s">
        <v>10</v>
      </c>
      <c r="D55">
        <f>ROUND(Actuals!D55*1.05,0)</f>
        <v>2778397</v>
      </c>
      <c r="E55">
        <f t="shared" si="0"/>
        <v>889087</v>
      </c>
      <c r="F55">
        <f t="shared" si="1"/>
        <v>500111</v>
      </c>
    </row>
    <row r="56" spans="1:6" x14ac:dyDescent="0.25">
      <c r="A56" s="1">
        <f t="shared" si="2"/>
        <v>45689</v>
      </c>
      <c r="B56" t="s">
        <v>8</v>
      </c>
      <c r="C56" t="s">
        <v>10</v>
      </c>
      <c r="D56">
        <f>ROUND(Actuals!D56*1.05,0)</f>
        <v>3187177</v>
      </c>
      <c r="E56">
        <f t="shared" si="0"/>
        <v>1019897</v>
      </c>
      <c r="F56">
        <f t="shared" si="1"/>
        <v>573692</v>
      </c>
    </row>
    <row r="57" spans="1:6" x14ac:dyDescent="0.25">
      <c r="A57" s="1">
        <f t="shared" si="2"/>
        <v>45689</v>
      </c>
      <c r="B57" t="s">
        <v>9</v>
      </c>
      <c r="C57" t="s">
        <v>10</v>
      </c>
      <c r="D57">
        <f>ROUND(Actuals!D57*1.05,0)</f>
        <v>2994172</v>
      </c>
      <c r="E57">
        <f t="shared" si="0"/>
        <v>958135</v>
      </c>
      <c r="F57">
        <f t="shared" si="1"/>
        <v>538951</v>
      </c>
    </row>
    <row r="58" spans="1:6" x14ac:dyDescent="0.25">
      <c r="A58" s="1">
        <f t="shared" si="2"/>
        <v>45717</v>
      </c>
      <c r="B58" t="s">
        <v>6</v>
      </c>
      <c r="C58" t="s">
        <v>10</v>
      </c>
      <c r="D58">
        <f>ROUND(Actuals!D58*1.05,0)</f>
        <v>1343631</v>
      </c>
      <c r="E58">
        <f t="shared" si="0"/>
        <v>429962</v>
      </c>
      <c r="F58">
        <f t="shared" si="1"/>
        <v>241854</v>
      </c>
    </row>
    <row r="59" spans="1:6" x14ac:dyDescent="0.25">
      <c r="A59" s="1">
        <f t="shared" si="2"/>
        <v>45717</v>
      </c>
      <c r="B59" t="s">
        <v>7</v>
      </c>
      <c r="C59" t="s">
        <v>10</v>
      </c>
      <c r="D59">
        <f>ROUND(Actuals!D59*1.05,0)</f>
        <v>3418892</v>
      </c>
      <c r="E59">
        <f t="shared" si="0"/>
        <v>1094045</v>
      </c>
      <c r="F59">
        <f t="shared" si="1"/>
        <v>615401</v>
      </c>
    </row>
    <row r="60" spans="1:6" x14ac:dyDescent="0.25">
      <c r="A60" s="1">
        <f t="shared" si="2"/>
        <v>45717</v>
      </c>
      <c r="B60" t="s">
        <v>8</v>
      </c>
      <c r="C60" t="s">
        <v>10</v>
      </c>
      <c r="D60">
        <f>ROUND(Actuals!D60*1.05,0)</f>
        <v>3285007</v>
      </c>
      <c r="E60">
        <f t="shared" si="0"/>
        <v>1051202</v>
      </c>
      <c r="F60">
        <f t="shared" si="1"/>
        <v>591301</v>
      </c>
    </row>
    <row r="61" spans="1:6" x14ac:dyDescent="0.25">
      <c r="A61" s="1">
        <f t="shared" si="2"/>
        <v>45717</v>
      </c>
      <c r="B61" t="s">
        <v>9</v>
      </c>
      <c r="C61" t="s">
        <v>10</v>
      </c>
      <c r="D61">
        <f>ROUND(Actuals!D61*1.05,0)</f>
        <v>2132376</v>
      </c>
      <c r="E61">
        <f t="shared" si="0"/>
        <v>682360</v>
      </c>
      <c r="F61">
        <f t="shared" si="1"/>
        <v>383828</v>
      </c>
    </row>
    <row r="62" spans="1:6" x14ac:dyDescent="0.25">
      <c r="A62" s="1">
        <f t="shared" si="2"/>
        <v>45748</v>
      </c>
      <c r="B62" t="s">
        <v>6</v>
      </c>
      <c r="C62" t="s">
        <v>10</v>
      </c>
      <c r="D62">
        <f>ROUND(Actuals!D62*1.05,0)</f>
        <v>1534854</v>
      </c>
      <c r="E62">
        <f t="shared" si="0"/>
        <v>491153</v>
      </c>
      <c r="F62">
        <f t="shared" si="1"/>
        <v>276274</v>
      </c>
    </row>
    <row r="63" spans="1:6" x14ac:dyDescent="0.25">
      <c r="A63" s="1">
        <f t="shared" si="2"/>
        <v>45748</v>
      </c>
      <c r="B63" t="s">
        <v>7</v>
      </c>
      <c r="C63" t="s">
        <v>10</v>
      </c>
      <c r="D63">
        <f>ROUND(Actuals!D63*1.05,0)</f>
        <v>2441390</v>
      </c>
      <c r="E63">
        <f t="shared" si="0"/>
        <v>781245</v>
      </c>
      <c r="F63">
        <f t="shared" si="1"/>
        <v>439450</v>
      </c>
    </row>
    <row r="64" spans="1:6" x14ac:dyDescent="0.25">
      <c r="A64" s="1">
        <f t="shared" si="2"/>
        <v>45748</v>
      </c>
      <c r="B64" t="s">
        <v>8</v>
      </c>
      <c r="C64" t="s">
        <v>10</v>
      </c>
      <c r="D64">
        <f>ROUND(Actuals!D64*1.05,0)</f>
        <v>1405528</v>
      </c>
      <c r="E64">
        <f t="shared" si="0"/>
        <v>449769</v>
      </c>
      <c r="F64">
        <f t="shared" si="1"/>
        <v>252995</v>
      </c>
    </row>
    <row r="65" spans="1:6" x14ac:dyDescent="0.25">
      <c r="A65" s="1">
        <f t="shared" si="2"/>
        <v>45748</v>
      </c>
      <c r="B65" t="s">
        <v>9</v>
      </c>
      <c r="C65" t="s">
        <v>10</v>
      </c>
      <c r="D65">
        <f>ROUND(Actuals!D65*1.05,0)</f>
        <v>1312681</v>
      </c>
      <c r="E65">
        <f t="shared" si="0"/>
        <v>420058</v>
      </c>
      <c r="F65">
        <f t="shared" si="1"/>
        <v>236283</v>
      </c>
    </row>
    <row r="66" spans="1:6" x14ac:dyDescent="0.25">
      <c r="A66" s="1">
        <f t="shared" si="2"/>
        <v>45778</v>
      </c>
      <c r="B66" t="s">
        <v>6</v>
      </c>
      <c r="C66" t="s">
        <v>10</v>
      </c>
      <c r="D66">
        <f>ROUND(Actuals!D66*1.05,0)</f>
        <v>2338660</v>
      </c>
      <c r="E66">
        <f t="shared" si="0"/>
        <v>748371</v>
      </c>
      <c r="F66">
        <f t="shared" si="1"/>
        <v>420959</v>
      </c>
    </row>
    <row r="67" spans="1:6" x14ac:dyDescent="0.25">
      <c r="A67" s="1">
        <f t="shared" si="2"/>
        <v>45778</v>
      </c>
      <c r="B67" t="s">
        <v>7</v>
      </c>
      <c r="C67" t="s">
        <v>10</v>
      </c>
      <c r="D67">
        <f>ROUND(Actuals!D67*1.05,0)</f>
        <v>942720</v>
      </c>
      <c r="E67">
        <f t="shared" ref="E67:E97" si="3">ROUND(D67*0.32,0)</f>
        <v>301670</v>
      </c>
      <c r="F67">
        <f t="shared" ref="F67:F97" si="4">ROUND(D67*0.18,0)</f>
        <v>169690</v>
      </c>
    </row>
    <row r="68" spans="1:6" x14ac:dyDescent="0.25">
      <c r="A68" s="1">
        <f t="shared" ref="A68:A97" si="5">IF(MOD(ROW()-2,4)=0, DATE(YEAR(A67),MONTH(A67)+1,1), A67)</f>
        <v>45778</v>
      </c>
      <c r="B68" t="s">
        <v>8</v>
      </c>
      <c r="C68" t="s">
        <v>10</v>
      </c>
      <c r="D68">
        <f>ROUND(Actuals!D68*1.05,0)</f>
        <v>2746991</v>
      </c>
      <c r="E68">
        <f t="shared" si="3"/>
        <v>879037</v>
      </c>
      <c r="F68">
        <f t="shared" si="4"/>
        <v>494458</v>
      </c>
    </row>
    <row r="69" spans="1:6" x14ac:dyDescent="0.25">
      <c r="A69" s="1">
        <f t="shared" si="5"/>
        <v>45778</v>
      </c>
      <c r="B69" t="s">
        <v>9</v>
      </c>
      <c r="C69" t="s">
        <v>10</v>
      </c>
      <c r="D69">
        <f>ROUND(Actuals!D69*1.05,0)</f>
        <v>2340856</v>
      </c>
      <c r="E69">
        <f t="shared" si="3"/>
        <v>749074</v>
      </c>
      <c r="F69">
        <f t="shared" si="4"/>
        <v>421354</v>
      </c>
    </row>
    <row r="70" spans="1:6" x14ac:dyDescent="0.25">
      <c r="A70" s="1">
        <f t="shared" si="5"/>
        <v>45809</v>
      </c>
      <c r="B70" t="s">
        <v>6</v>
      </c>
      <c r="C70" t="s">
        <v>10</v>
      </c>
      <c r="D70">
        <f>ROUND(Actuals!D70*1.05,0)</f>
        <v>2628679</v>
      </c>
      <c r="E70">
        <f t="shared" si="3"/>
        <v>841177</v>
      </c>
      <c r="F70">
        <f t="shared" si="4"/>
        <v>473162</v>
      </c>
    </row>
    <row r="71" spans="1:6" x14ac:dyDescent="0.25">
      <c r="A71" s="1">
        <f t="shared" si="5"/>
        <v>45809</v>
      </c>
      <c r="B71" t="s">
        <v>7</v>
      </c>
      <c r="C71" t="s">
        <v>10</v>
      </c>
      <c r="D71">
        <f>ROUND(Actuals!D71*1.05,0)</f>
        <v>1651750</v>
      </c>
      <c r="E71">
        <f t="shared" si="3"/>
        <v>528560</v>
      </c>
      <c r="F71">
        <f t="shared" si="4"/>
        <v>297315</v>
      </c>
    </row>
    <row r="72" spans="1:6" x14ac:dyDescent="0.25">
      <c r="A72" s="1">
        <f t="shared" si="5"/>
        <v>45809</v>
      </c>
      <c r="B72" t="s">
        <v>8</v>
      </c>
      <c r="C72" t="s">
        <v>10</v>
      </c>
      <c r="D72">
        <f>ROUND(Actuals!D72*1.05,0)</f>
        <v>1974907</v>
      </c>
      <c r="E72">
        <f t="shared" si="3"/>
        <v>631970</v>
      </c>
      <c r="F72">
        <f t="shared" si="4"/>
        <v>355483</v>
      </c>
    </row>
    <row r="73" spans="1:6" x14ac:dyDescent="0.25">
      <c r="A73" s="1">
        <f t="shared" si="5"/>
        <v>45809</v>
      </c>
      <c r="B73" t="s">
        <v>9</v>
      </c>
      <c r="C73" t="s">
        <v>10</v>
      </c>
      <c r="D73">
        <f>ROUND(Actuals!D73*1.05,0)</f>
        <v>2003790</v>
      </c>
      <c r="E73">
        <f t="shared" si="3"/>
        <v>641213</v>
      </c>
      <c r="F73">
        <f t="shared" si="4"/>
        <v>360682</v>
      </c>
    </row>
    <row r="74" spans="1:6" x14ac:dyDescent="0.25">
      <c r="A74" s="1">
        <f t="shared" si="5"/>
        <v>45839</v>
      </c>
      <c r="B74" t="s">
        <v>6</v>
      </c>
      <c r="C74" t="s">
        <v>10</v>
      </c>
      <c r="D74">
        <f>ROUND(Actuals!D74*1.05,0)</f>
        <v>994592</v>
      </c>
      <c r="E74">
        <f t="shared" si="3"/>
        <v>318269</v>
      </c>
      <c r="F74">
        <f t="shared" si="4"/>
        <v>179027</v>
      </c>
    </row>
    <row r="75" spans="1:6" x14ac:dyDescent="0.25">
      <c r="A75" s="1">
        <f t="shared" si="5"/>
        <v>45839</v>
      </c>
      <c r="B75" t="s">
        <v>7</v>
      </c>
      <c r="C75" t="s">
        <v>10</v>
      </c>
      <c r="D75">
        <f>ROUND(Actuals!D75*1.05,0)</f>
        <v>2341751</v>
      </c>
      <c r="E75">
        <f t="shared" si="3"/>
        <v>749360</v>
      </c>
      <c r="F75">
        <f t="shared" si="4"/>
        <v>421515</v>
      </c>
    </row>
    <row r="76" spans="1:6" x14ac:dyDescent="0.25">
      <c r="A76" s="1">
        <f t="shared" si="5"/>
        <v>45839</v>
      </c>
      <c r="B76" t="s">
        <v>8</v>
      </c>
      <c r="C76" t="s">
        <v>10</v>
      </c>
      <c r="D76">
        <f>ROUND(Actuals!D76*1.05,0)</f>
        <v>1644750</v>
      </c>
      <c r="E76">
        <f t="shared" si="3"/>
        <v>526320</v>
      </c>
      <c r="F76">
        <f t="shared" si="4"/>
        <v>296055</v>
      </c>
    </row>
    <row r="77" spans="1:6" x14ac:dyDescent="0.25">
      <c r="A77" s="1">
        <f t="shared" si="5"/>
        <v>45839</v>
      </c>
      <c r="B77" t="s">
        <v>9</v>
      </c>
      <c r="C77" t="s">
        <v>10</v>
      </c>
      <c r="D77">
        <f>ROUND(Actuals!D77*1.05,0)</f>
        <v>995696</v>
      </c>
      <c r="E77">
        <f t="shared" si="3"/>
        <v>318623</v>
      </c>
      <c r="F77">
        <f t="shared" si="4"/>
        <v>179225</v>
      </c>
    </row>
    <row r="78" spans="1:6" x14ac:dyDescent="0.25">
      <c r="A78" s="1">
        <f t="shared" si="5"/>
        <v>45870</v>
      </c>
      <c r="B78" t="s">
        <v>6</v>
      </c>
      <c r="C78" t="s">
        <v>10</v>
      </c>
      <c r="D78">
        <f>ROUND(Actuals!D78*1.05,0)</f>
        <v>2229050</v>
      </c>
      <c r="E78">
        <f t="shared" si="3"/>
        <v>713296</v>
      </c>
      <c r="F78">
        <f t="shared" si="4"/>
        <v>401229</v>
      </c>
    </row>
    <row r="79" spans="1:6" x14ac:dyDescent="0.25">
      <c r="A79" s="1">
        <f t="shared" si="5"/>
        <v>45870</v>
      </c>
      <c r="B79" t="s">
        <v>7</v>
      </c>
      <c r="C79" t="s">
        <v>10</v>
      </c>
      <c r="D79">
        <f>ROUND(Actuals!D79*1.05,0)</f>
        <v>1246618</v>
      </c>
      <c r="E79">
        <f t="shared" si="3"/>
        <v>398918</v>
      </c>
      <c r="F79">
        <f t="shared" si="4"/>
        <v>224391</v>
      </c>
    </row>
    <row r="80" spans="1:6" x14ac:dyDescent="0.25">
      <c r="A80" s="1">
        <f t="shared" si="5"/>
        <v>45870</v>
      </c>
      <c r="B80" t="s">
        <v>8</v>
      </c>
      <c r="C80" t="s">
        <v>10</v>
      </c>
      <c r="D80">
        <f>ROUND(Actuals!D80*1.05,0)</f>
        <v>1461627</v>
      </c>
      <c r="E80">
        <f t="shared" si="3"/>
        <v>467721</v>
      </c>
      <c r="F80">
        <f t="shared" si="4"/>
        <v>263093</v>
      </c>
    </row>
    <row r="81" spans="1:6" x14ac:dyDescent="0.25">
      <c r="A81" s="1">
        <f t="shared" si="5"/>
        <v>45870</v>
      </c>
      <c r="B81" t="s">
        <v>9</v>
      </c>
      <c r="C81" t="s">
        <v>10</v>
      </c>
      <c r="D81">
        <f>ROUND(Actuals!D81*1.05,0)</f>
        <v>1191365</v>
      </c>
      <c r="E81">
        <f t="shared" si="3"/>
        <v>381237</v>
      </c>
      <c r="F81">
        <f t="shared" si="4"/>
        <v>214446</v>
      </c>
    </row>
    <row r="82" spans="1:6" x14ac:dyDescent="0.25">
      <c r="A82" s="1">
        <f t="shared" si="5"/>
        <v>45901</v>
      </c>
      <c r="B82" t="s">
        <v>6</v>
      </c>
      <c r="C82" t="s">
        <v>10</v>
      </c>
      <c r="D82">
        <f>ROUND(Actuals!D82*1.05,0)</f>
        <v>2087218</v>
      </c>
      <c r="E82">
        <f t="shared" si="3"/>
        <v>667910</v>
      </c>
      <c r="F82">
        <f t="shared" si="4"/>
        <v>375699</v>
      </c>
    </row>
    <row r="83" spans="1:6" x14ac:dyDescent="0.25">
      <c r="A83" s="1">
        <f t="shared" si="5"/>
        <v>45901</v>
      </c>
      <c r="B83" t="s">
        <v>7</v>
      </c>
      <c r="C83" t="s">
        <v>10</v>
      </c>
      <c r="D83">
        <f>ROUND(Actuals!D83*1.05,0)</f>
        <v>2794626</v>
      </c>
      <c r="E83">
        <f t="shared" si="3"/>
        <v>894280</v>
      </c>
      <c r="F83">
        <f t="shared" si="4"/>
        <v>503033</v>
      </c>
    </row>
    <row r="84" spans="1:6" x14ac:dyDescent="0.25">
      <c r="A84" s="1">
        <f t="shared" si="5"/>
        <v>45901</v>
      </c>
      <c r="B84" t="s">
        <v>8</v>
      </c>
      <c r="C84" t="s">
        <v>10</v>
      </c>
      <c r="D84">
        <f>ROUND(Actuals!D84*1.05,0)</f>
        <v>2062275</v>
      </c>
      <c r="E84">
        <f t="shared" si="3"/>
        <v>659928</v>
      </c>
      <c r="F84">
        <f t="shared" si="4"/>
        <v>371210</v>
      </c>
    </row>
    <row r="85" spans="1:6" x14ac:dyDescent="0.25">
      <c r="A85" s="1">
        <f t="shared" si="5"/>
        <v>45901</v>
      </c>
      <c r="B85" t="s">
        <v>9</v>
      </c>
      <c r="C85" t="s">
        <v>10</v>
      </c>
      <c r="D85">
        <f>ROUND(Actuals!D85*1.05,0)</f>
        <v>2726009</v>
      </c>
      <c r="E85">
        <f t="shared" si="3"/>
        <v>872323</v>
      </c>
      <c r="F85">
        <f t="shared" si="4"/>
        <v>490682</v>
      </c>
    </row>
    <row r="86" spans="1:6" x14ac:dyDescent="0.25">
      <c r="A86" s="1">
        <f t="shared" si="5"/>
        <v>45931</v>
      </c>
      <c r="B86" t="s">
        <v>6</v>
      </c>
      <c r="C86" t="s">
        <v>10</v>
      </c>
      <c r="D86">
        <f>ROUND(Actuals!D86*1.05,0)</f>
        <v>2579927</v>
      </c>
      <c r="E86">
        <f t="shared" si="3"/>
        <v>825577</v>
      </c>
      <c r="F86">
        <f t="shared" si="4"/>
        <v>464387</v>
      </c>
    </row>
    <row r="87" spans="1:6" x14ac:dyDescent="0.25">
      <c r="A87" s="1">
        <f t="shared" si="5"/>
        <v>45931</v>
      </c>
      <c r="B87" t="s">
        <v>7</v>
      </c>
      <c r="C87" t="s">
        <v>10</v>
      </c>
      <c r="D87">
        <f>ROUND(Actuals!D87*1.05,0)</f>
        <v>2887167</v>
      </c>
      <c r="E87">
        <f t="shared" si="3"/>
        <v>923893</v>
      </c>
      <c r="F87">
        <f t="shared" si="4"/>
        <v>519690</v>
      </c>
    </row>
    <row r="88" spans="1:6" x14ac:dyDescent="0.25">
      <c r="A88" s="1">
        <f t="shared" si="5"/>
        <v>45931</v>
      </c>
      <c r="B88" t="s">
        <v>8</v>
      </c>
      <c r="C88" t="s">
        <v>10</v>
      </c>
      <c r="D88">
        <f>ROUND(Actuals!D88*1.05,0)</f>
        <v>1085808</v>
      </c>
      <c r="E88">
        <f t="shared" si="3"/>
        <v>347459</v>
      </c>
      <c r="F88">
        <f t="shared" si="4"/>
        <v>195445</v>
      </c>
    </row>
    <row r="89" spans="1:6" x14ac:dyDescent="0.25">
      <c r="A89" s="1">
        <f t="shared" si="5"/>
        <v>45931</v>
      </c>
      <c r="B89" t="s">
        <v>9</v>
      </c>
      <c r="C89" t="s">
        <v>10</v>
      </c>
      <c r="D89">
        <f>ROUND(Actuals!D89*1.05,0)</f>
        <v>1552179</v>
      </c>
      <c r="E89">
        <f t="shared" si="3"/>
        <v>496697</v>
      </c>
      <c r="F89">
        <f t="shared" si="4"/>
        <v>279392</v>
      </c>
    </row>
    <row r="90" spans="1:6" x14ac:dyDescent="0.25">
      <c r="A90" s="1">
        <f t="shared" si="5"/>
        <v>45962</v>
      </c>
      <c r="B90" t="s">
        <v>6</v>
      </c>
      <c r="C90" t="s">
        <v>10</v>
      </c>
      <c r="D90">
        <f>ROUND(Actuals!D90*1.05,0)</f>
        <v>2997326</v>
      </c>
      <c r="E90">
        <f t="shared" si="3"/>
        <v>959144</v>
      </c>
      <c r="F90">
        <f t="shared" si="4"/>
        <v>539519</v>
      </c>
    </row>
    <row r="91" spans="1:6" x14ac:dyDescent="0.25">
      <c r="A91" s="1">
        <f t="shared" si="5"/>
        <v>45962</v>
      </c>
      <c r="B91" t="s">
        <v>7</v>
      </c>
      <c r="C91" t="s">
        <v>10</v>
      </c>
      <c r="D91">
        <f>ROUND(Actuals!D91*1.05,0)</f>
        <v>1329773</v>
      </c>
      <c r="E91">
        <f t="shared" si="3"/>
        <v>425527</v>
      </c>
      <c r="F91">
        <f t="shared" si="4"/>
        <v>239359</v>
      </c>
    </row>
    <row r="92" spans="1:6" x14ac:dyDescent="0.25">
      <c r="A92" s="1">
        <f t="shared" si="5"/>
        <v>45962</v>
      </c>
      <c r="B92" t="s">
        <v>8</v>
      </c>
      <c r="C92" t="s">
        <v>10</v>
      </c>
      <c r="D92">
        <f>ROUND(Actuals!D92*1.05,0)</f>
        <v>3308596</v>
      </c>
      <c r="E92">
        <f t="shared" si="3"/>
        <v>1058751</v>
      </c>
      <c r="F92">
        <f t="shared" si="4"/>
        <v>595547</v>
      </c>
    </row>
    <row r="93" spans="1:6" x14ac:dyDescent="0.25">
      <c r="A93" s="1">
        <f t="shared" si="5"/>
        <v>45962</v>
      </c>
      <c r="B93" t="s">
        <v>9</v>
      </c>
      <c r="C93" t="s">
        <v>10</v>
      </c>
      <c r="D93">
        <f>ROUND(Actuals!D93*1.05,0)</f>
        <v>3529174</v>
      </c>
      <c r="E93">
        <f t="shared" si="3"/>
        <v>1129336</v>
      </c>
      <c r="F93">
        <f t="shared" si="4"/>
        <v>635251</v>
      </c>
    </row>
    <row r="94" spans="1:6" x14ac:dyDescent="0.25">
      <c r="A94" s="1">
        <f t="shared" si="5"/>
        <v>45992</v>
      </c>
      <c r="B94" t="s">
        <v>6</v>
      </c>
      <c r="C94" t="s">
        <v>10</v>
      </c>
      <c r="D94">
        <f>ROUND(Actuals!D94*1.05,0)</f>
        <v>2541842</v>
      </c>
      <c r="E94">
        <f t="shared" si="3"/>
        <v>813389</v>
      </c>
      <c r="F94">
        <f t="shared" si="4"/>
        <v>457532</v>
      </c>
    </row>
    <row r="95" spans="1:6" x14ac:dyDescent="0.25">
      <c r="A95" s="1">
        <f t="shared" si="5"/>
        <v>45992</v>
      </c>
      <c r="B95" t="s">
        <v>7</v>
      </c>
      <c r="C95" t="s">
        <v>10</v>
      </c>
      <c r="D95">
        <f>ROUND(Actuals!D95*1.05,0)</f>
        <v>3423189</v>
      </c>
      <c r="E95">
        <f t="shared" si="3"/>
        <v>1095420</v>
      </c>
      <c r="F95">
        <f t="shared" si="4"/>
        <v>616174</v>
      </c>
    </row>
    <row r="96" spans="1:6" x14ac:dyDescent="0.25">
      <c r="A96" s="1">
        <f t="shared" si="5"/>
        <v>45992</v>
      </c>
      <c r="B96" t="s">
        <v>8</v>
      </c>
      <c r="C96" t="s">
        <v>10</v>
      </c>
      <c r="D96">
        <f>ROUND(Actuals!D96*1.05,0)</f>
        <v>2356285</v>
      </c>
      <c r="E96">
        <f t="shared" si="3"/>
        <v>754011</v>
      </c>
      <c r="F96">
        <f t="shared" si="4"/>
        <v>424131</v>
      </c>
    </row>
    <row r="97" spans="1:6" x14ac:dyDescent="0.25">
      <c r="A97" s="1">
        <f t="shared" si="5"/>
        <v>45992</v>
      </c>
      <c r="B97" t="s">
        <v>9</v>
      </c>
      <c r="C97" t="s">
        <v>10</v>
      </c>
      <c r="D97">
        <f>ROUND(Actuals!D97*1.05,0)</f>
        <v>3024434</v>
      </c>
      <c r="E97">
        <f t="shared" si="3"/>
        <v>967819</v>
      </c>
      <c r="F97">
        <f t="shared" si="4"/>
        <v>544398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Actuals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Awan</dc:creator>
  <cp:lastModifiedBy>Hammad Awan</cp:lastModifiedBy>
  <dcterms:created xsi:type="dcterms:W3CDTF">2026-07-13T20:47:30Z</dcterms:created>
  <dcterms:modified xsi:type="dcterms:W3CDTF">2026-07-13T22:50:12Z</dcterms:modified>
</cp:coreProperties>
</file>